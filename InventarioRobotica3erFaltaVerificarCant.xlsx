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sumen" sheetId="1" state="visible" r:id="rId3"/>
    <sheet name="VEX" sheetId="2" state="visible" r:id="rId4"/>
    <sheet name="FTC" sheetId="3" state="visible" r:id="rId5"/>
    <sheet name="Herramientas" sheetId="4" state="visible" r:id="rId6"/>
    <sheet name="Herramientas eléctricas" sheetId="5" state="visible" r:id="rId7"/>
    <sheet name="Consumibles" sheetId="6" state="visible" r:id="rId8"/>
    <sheet name="Común" sheetId="7" state="visible" r:id="rId9"/>
    <sheet name="Sin clasificar" sheetId="8" state="visible" r:id="rId10"/>
    <sheet name="BOM REV Starter Kit V3" sheetId="9" state="visible" r:id="rId11"/>
    <sheet name="BOM goBILDA Strafer" sheetId="10" state="visible" r:id="rId12"/>
    <sheet name="Cómo usar estas listas" sheetId="11" state="visible" r:id="rId13"/>
    <sheet name="BOM Control &amp; Power Bundle" sheetId="12" state="visible" r:id="rId14"/>
  </sheets>
  <definedNames>
    <definedName function="false" hidden="true" localSheetId="9" name="_xlnm._FilterDatabase" vbProcedure="false">'BOM goBILDA Strafer'!$A$4:$G$26</definedName>
    <definedName function="false" hidden="true" localSheetId="8" name="_xlnm._FilterDatabase" vbProcedure="false">'BOM REV Starter Kit V3'!$A$4:$G$99</definedName>
    <definedName function="false" hidden="true" localSheetId="6" name="_xlnm._FilterDatabase" vbProcedure="false">Común!$A$4:$J$21</definedName>
    <definedName function="false" hidden="true" localSheetId="5" name="_xlnm._FilterDatabase" vbProcedure="false">Consumibles!$A$4:$J$40</definedName>
    <definedName function="false" hidden="true" localSheetId="2" name="_xlnm._FilterDatabase" vbProcedure="false">FTC!$A$4:$J$37</definedName>
    <definedName function="false" hidden="true" localSheetId="3" name="_xlnm._FilterDatabase" vbProcedure="false">Herramientas!$A$4:$J$32</definedName>
    <definedName function="false" hidden="true" localSheetId="4" name="_xlnm._FilterDatabase" vbProcedure="false">'Herramientas eléctricas'!$A$4:$J$25</definedName>
    <definedName function="false" hidden="true" localSheetId="7" name="_xlnm._FilterDatabase" vbProcedure="false">'Sin clasificar'!$A$4:$J$7</definedName>
    <definedName function="false" hidden="true" localSheetId="1" name="_xlnm._FilterDatabase" vbProcedure="false">VEX!$A$4:$J$34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<sst xmlns="http://schemas.openxmlformats.org/spreadsheetml/2006/main" count="1464" uniqueCount="846">
  <si>
    <t xml:space="preserve">INVENTARIO FÍSICO — LABORATORIO MAKER DE PREPARATORIA</t>
  </si>
  <si>
    <t xml:space="preserve">Ing. Jaime Santiago Lugo Miranda   |   Documento de trabajo para Sub Administración</t>
  </si>
  <si>
    <t xml:space="preserve">Las cantidades marcadas con ~ son estimadas y deben confirmarse con conteo físico.</t>
  </si>
  <si>
    <t xml:space="preserve">⚠ REGLA DE SEPARACIÓN OBLIGATORIA</t>
  </si>
  <si>
    <t xml:space="preserve">El inventario se dividió en pestañas independientes por categoría, porque el reglamento del nuevo concurso de VEX prohíbe usar piezas de otro equipo/concurso. </t>
  </si>
  <si>
    <t xml:space="preserve">RENGLONES POR PESTAÑA</t>
  </si>
  <si>
    <t xml:space="preserve">#</t>
  </si>
  <si>
    <t xml:space="preserve">Pestaña</t>
  </si>
  <si>
    <t xml:space="preserve">Renglones</t>
  </si>
  <si>
    <t xml:space="preserve">Con algo pendiente por revisar/contar</t>
  </si>
  <si>
    <t xml:space="preserve">VEX</t>
  </si>
  <si>
    <t xml:space="preserve">FTC</t>
  </si>
  <si>
    <t xml:space="preserve">Herramientas</t>
  </si>
  <si>
    <t xml:space="preserve">Herramientas eléctricas</t>
  </si>
  <si>
    <t xml:space="preserve">Consumibles</t>
  </si>
  <si>
    <t xml:space="preserve">Común</t>
  </si>
  <si>
    <t xml:space="preserve">Sin clasificar</t>
  </si>
  <si>
    <t xml:space="preserve">TOTAL</t>
  </si>
  <si>
    <t xml:space="preserve">CRITERIO DE CLASIFICACIÓN APLICADO</t>
  </si>
  <si>
    <t xml:space="preserve">Todo lo que trae marca/kit VEX (VEX EDR, VEX V5, VEX Classroom &amp; Competition).</t>
  </si>
  <si>
    <t xml:space="preserve">Todo lo que trae marca/kit FTC o REV Robotics (Control Hub, Driver Hub, motores, brackets, cajas REV/FTC).</t>
  </si>
  <si>
    <t xml:space="preserve">Herramienta de mano y de medición SIN motor ni cable: llaves, pinzas, desarmadores, vernier, flexómetro, nivel, etc.</t>
  </si>
  <si>
    <t xml:space="preserve">Máquinas y equipo con motor o consumo eléctrico relevante: láser CO2 y sus periféricos, cortadora de vinil (Cameo), kit Milwaukee, taladro de banco, aspiradora industrial, las 2 impresoras 3D y la estación de electrónica (cautines, multímetro, desoldadores, lupa).</t>
  </si>
  <si>
    <t xml:space="preserve">Todo lo que se gasta, se repone o es materia prima/refacción: vinil, cintas, lijas, filamento, tornillería, conectores, hojas de sierra, material suelto (varillas, ángulos, placas).</t>
  </si>
  <si>
    <t xml:space="preserve">Lo que no encaja arriba: cómputo, mobiliario, seguridad, eléctrico general (extensiones/reguladores) y otros artículos compartidos.</t>
  </si>
  <si>
    <t xml:space="preserve">Cajas o piezas sin marca ni identificación: hay que abrirlas para saber si son VEX, FTC o común antes de guardarlas.</t>
  </si>
  <si>
    <t xml:space="preserve">⚠ PENDIENTES CRÍTICOS PARA LA SEPARACIÓN VEX/FTC</t>
  </si>
  <si>
    <t xml:space="preserve">Estos renglones no tienen marca/identificación clara. Antes de guardarlos en cualquier pestaña hay que abrirlos y confirmar si son piezas VEX, FTC o material común, para no mezclarlos por error. Están en la pestaña "Sin clasificar".</t>
  </si>
  <si>
    <t xml:space="preserve">Caja de madera rotulada TAPA / NO VOLTEAR — Contenido sin identificar. ABRIR</t>
  </si>
  <si>
    <t xml:space="preserve">Piezas hexagonales blancas de plástico — Sin identificar. Fotografiar de cerca</t>
  </si>
  <si>
    <t xml:space="preserve">Cajas de cartón grandes sin identificar — En repisa alta. ABRIR y fotografiar</t>
  </si>
  <si>
    <t xml:space="preserve">PENDIENTES POR TIPO (todas las pestañas)</t>
  </si>
  <si>
    <t xml:space="preserve">Tipo de pendiente</t>
  </si>
  <si>
    <t xml:space="preserve">Renglones afectados</t>
  </si>
  <si>
    <t xml:space="preserve">Pestañas</t>
  </si>
  <si>
    <t xml:space="preserve">Contar físicamente</t>
  </si>
  <si>
    <t xml:space="preserve">Común, Consumibles, FTC, Herramientas</t>
  </si>
  <si>
    <t xml:space="preserve">Verificar dato/contenido</t>
  </si>
  <si>
    <t xml:space="preserve">Común, Consumibles, FTC, Herramientas, Herramientas eléctricas, VEX</t>
  </si>
  <si>
    <t xml:space="preserve">Identificar/etiquetar</t>
  </si>
  <si>
    <t xml:space="preserve">Consumibles, FTC, Herramientas eléctricas, Sin clasificar</t>
  </si>
  <si>
    <t xml:space="preserve">Abrir y revisar contenido</t>
  </si>
  <si>
    <t xml:space="preserve">Consumibles, FTC, Sin clasificar, VEX</t>
  </si>
  <si>
    <t xml:space="preserve">Registrar serie/medida</t>
  </si>
  <si>
    <t xml:space="preserve">FTC, Herramientas, Herramientas eléctricas, VEX</t>
  </si>
  <si>
    <t xml:space="preserve">Falta pieza/dato</t>
  </si>
  <si>
    <t xml:space="preserve">Herramientas, Herramientas eléctricas</t>
  </si>
  <si>
    <t xml:space="preserve">Definir si es VEX o FTC antes de guardar</t>
  </si>
  <si>
    <t xml:space="preserve">Confirmar si está vacío</t>
  </si>
  <si>
    <t xml:space="preserve">INVENTARIO — ROBÓTICA VEX</t>
  </si>
  <si>
    <t xml:space="preserve">⚠ USO EXCLUSIVO PARA VEX. Prohibido mezclar con piezas de FTC (REV/goBILDA). Existen TRES líneas VEX distintas y NO son compatibles entre sí: V5 (competencia), EDR/Cortex (aula) y los elementos de campo.</t>
  </si>
  <si>
    <t xml:space="preserve">N.º</t>
  </si>
  <si>
    <t xml:space="preserve">Artículo</t>
  </si>
  <si>
    <t xml:space="preserve">Marca / Modelo</t>
  </si>
  <si>
    <t xml:space="preserve">Cantidad contada</t>
  </si>
  <si>
    <t xml:space="preserve">Estado</t>
  </si>
  <si>
    <t xml:space="preserve">Subcategoría</t>
  </si>
  <si>
    <t xml:space="preserve">Ubicación (llenar en sitio)</t>
  </si>
  <si>
    <t xml:space="preserve">Observaciones</t>
  </si>
  <si>
    <t xml:space="preserve">Pendiente / Por revisar</t>
  </si>
  <si>
    <t xml:space="preserve">Verificado en sitio</t>
  </si>
  <si>
    <t xml:space="preserve">LÍNEA V5 — COMPETENCIA</t>
  </si>
  <si>
    <t xml:space="preserve">V5 Robot Kit (caja de competencia)</t>
  </si>
  <si>
    <t xml:space="preserve">VEX V5</t>
  </si>
  <si>
    <t xml:space="preserve">2 cajas</t>
  </si>
  <si>
    <t xml:space="preserve">Abiertas, aparentemente completas</t>
  </si>
  <si>
    <t xml:space="preserve">Cada caja contiene un robot V5 completo. Desglose pieza por pieza pendiente para sesión dedicada.</t>
  </si>
  <si>
    <t xml:space="preserve">Contar físicamente; Abrir y revisar contenido</t>
  </si>
  <si>
    <t xml:space="preserve">V5 System Bundle / Quick Start</t>
  </si>
  <si>
    <t xml:space="preserve">2</t>
  </si>
  <si>
    <t xml:space="preserve">En caja</t>
  </si>
  <si>
    <t xml:space="preserve">Contiene cerebro V5, control V5, batería, radio, motores smart, cables y cargador.</t>
  </si>
  <si>
    <t xml:space="preserve">V5 Pneumatics Kit</t>
  </si>
  <si>
    <t xml:space="preserve">Kit neumático. Sin abrir.</t>
  </si>
  <si>
    <t xml:space="preserve">Robot V5 armado (chasis de prueba)</t>
  </si>
  <si>
    <t xml:space="preserve">1</t>
  </si>
  <si>
    <t xml:space="preserve">Armado y funcional</t>
  </si>
  <si>
    <t xml:space="preserve">Proviene de uno de los kits V5. Lleva Brain V5, batería, radio y 4 llantas. NO contar como activo aparte del kit.</t>
  </si>
  <si>
    <t xml:space="preserve">Batería V5</t>
  </si>
  <si>
    <t xml:space="preserve">1 (mínimo)</t>
  </si>
  <si>
    <t xml:space="preserve">Nueva</t>
  </si>
  <si>
    <t xml:space="preserve">Identificada por etiqueta UN 3481 (litio). Confirmar total.</t>
  </si>
  <si>
    <t xml:space="preserve">Placas metálicas de montaje</t>
  </si>
  <si>
    <t xml:space="preserve">4</t>
  </si>
  <si>
    <t xml:space="preserve">Sueltas</t>
  </si>
  <si>
    <t xml:space="preserve">Confirmar si pertenecen a alguno de los kits V5.</t>
  </si>
  <si>
    <t xml:space="preserve">Definir si es VEX o FTC</t>
  </si>
  <si>
    <t xml:space="preserve">LÍNEA EDR / CORTEX — AULA</t>
  </si>
  <si>
    <t xml:space="preserve">Classroom &amp; Competition Base Kit</t>
  </si>
  <si>
    <t xml:space="preserve">VEX EDR</t>
  </si>
  <si>
    <t xml:space="preserve">4 cajas</t>
  </si>
  <si>
    <t xml:space="preserve">Abiertas</t>
  </si>
  <si>
    <t xml:space="preserve">Material de aula. Cada caja contiene los renglones siguientes de esta sección.</t>
  </si>
  <si>
    <t xml:space="preserve">Cortex Microcontroller</t>
  </si>
  <si>
    <t xml:space="preserve">1 por caja + 1 suelto</t>
  </si>
  <si>
    <t xml:space="preserve">Nuevos, en caja</t>
  </si>
  <si>
    <t xml:space="preserve">Cerebro de la generación Cortex, equivalente antiguo del Brain V5. CONTAR TOTAL.</t>
  </si>
  <si>
    <t xml:space="preserve">Contar físicamente; Registrar serie/medida</t>
  </si>
  <si>
    <t xml:space="preserve">VEXnet Joystick</t>
  </si>
  <si>
    <t xml:space="preserve">Nuevos</t>
  </si>
  <si>
    <t xml:space="preserve">Control de la generación Cortex. CONTAR TOTAL.</t>
  </si>
  <si>
    <t xml:space="preserve">VEXnet Key 802.11g</t>
  </si>
  <si>
    <t xml:space="preserve">2 sueltas + 1 por caja</t>
  </si>
  <si>
    <t xml:space="preserve">Nuevas</t>
  </si>
  <si>
    <t xml:space="preserve">Llave de enlace inalámbrico entre Cortex y joystick. CONTAR TOTAL.</t>
  </si>
  <si>
    <t xml:space="preserve">Smart Charger (cargador de baterías)</t>
  </si>
  <si>
    <t xml:space="preserve">1 por caja</t>
  </si>
  <si>
    <t xml:space="preserve">Nuevo</t>
  </si>
  <si>
    <t xml:space="preserve">Uno por kit de aula.</t>
  </si>
  <si>
    <t xml:space="preserve">Motor 2-Wire 393</t>
  </si>
  <si>
    <t xml:space="preserve">VEX 276-2177</t>
  </si>
  <si>
    <t xml:space="preserve">varios por caja</t>
  </si>
  <si>
    <t xml:space="preserve">CONTAR por caja y multiplicar. Verificar 1 de 4 cajas es suficiente como estimación.</t>
  </si>
  <si>
    <t xml:space="preserve">Motor Controller 29</t>
  </si>
  <si>
    <t xml:space="preserve">VEX 276-2193</t>
  </si>
  <si>
    <t xml:space="preserve">Acompañan a los motores 393.</t>
  </si>
  <si>
    <t xml:space="preserve">ClawBot Kit</t>
  </si>
  <si>
    <t xml:space="preserve">Uno por caja de aula. Robot armable para alumnos. Insuficientes para grupo completo: se complementó con piezas impresas en 3D.</t>
  </si>
  <si>
    <t xml:space="preserve">Booster Kit</t>
  </si>
  <si>
    <t xml:space="preserve">Nuevos, sin abrir</t>
  </si>
  <si>
    <t xml:space="preserve">Uno por caja de aula.</t>
  </si>
  <si>
    <t xml:space="preserve">Firmware / documentación y licencias</t>
  </si>
  <si>
    <t xml:space="preserve">Verificar si incluye códigos de licencia.</t>
  </si>
  <si>
    <t xml:space="preserve">Batería robot 7.2 V 3000 mAh NiMH</t>
  </si>
  <si>
    <t xml:space="preserve">3</t>
  </si>
  <si>
    <t xml:space="preserve">En empaque</t>
  </si>
  <si>
    <t xml:space="preserve">Confirmar si son 3 o 4: hubo discrepancia en el dictado.</t>
  </si>
  <si>
    <t xml:space="preserve">Baterías AA recargables NiMH (paq. 6 pzas)</t>
  </si>
  <si>
    <t xml:space="preserve">7 paquetes</t>
  </si>
  <si>
    <t xml:space="preserve">Alimentan el VEXnet Joystick.</t>
  </si>
  <si>
    <t xml:space="preserve">VEXnet Backup Battery Holder</t>
  </si>
  <si>
    <t xml:space="preserve">Porta-batería de respaldo.</t>
  </si>
  <si>
    <t xml:space="preserve">Cable USB A-A Tether 6' (1.8 m)</t>
  </si>
  <si>
    <t xml:space="preserve">VEX 276-1403</t>
  </si>
  <si>
    <t xml:space="preserve">Cable de programación y enlace del Cortex.</t>
  </si>
  <si>
    <t xml:space="preserve">Caja VEX EDR (bajo la mesa)</t>
  </si>
  <si>
    <t xml:space="preserve">Abierta</t>
  </si>
  <si>
    <t xml:space="preserve">Mismo contenido que la primera caja EDR: material Cortex, sin robot.</t>
  </si>
  <si>
    <t xml:space="preserve">Caja VEX EDR (alargada, en repisa)</t>
  </si>
  <si>
    <t xml:space="preserve">Cerrada</t>
  </si>
  <si>
    <t xml:space="preserve">Contenido sin verificar.</t>
  </si>
  <si>
    <t xml:space="preserve">CAMPO DE COMPETENCIA Y ELEMENTOS DE JUEGO</t>
  </si>
  <si>
    <t xml:space="preserve">Campo de competencia VEX completo (12' x 12')</t>
  </si>
  <si>
    <t xml:space="preserve">VEX Robotics</t>
  </si>
  <si>
    <t xml:space="preserve">Armado y en uso</t>
  </si>
  <si>
    <t xml:space="preserve">Campo VEX</t>
  </si>
  <si>
    <t xml:space="preserve">Perímetro con barandales, tapetes de piso tipo puzzle, rampas y compuertas. DONADO POR CGI. Se observa rotulación 'SEGEY' en el perímetro: confirmar procedencia y resguardo.</t>
  </si>
  <si>
    <t xml:space="preserve">Registrar serie/medida; Verificar dato/contenido</t>
  </si>
  <si>
    <t xml:space="preserve">Plataforma de madera base del campo</t>
  </si>
  <si>
    <t xml:space="preserve">s/m</t>
  </si>
  <si>
    <t xml:space="preserve">En sitio</t>
  </si>
  <si>
    <t xml:space="preserve">Tarimas bajo el campo.</t>
  </si>
  <si>
    <t xml:space="preserve">Elementos de juego (conos, metas móviles, aros, vasos)</t>
  </si>
  <si>
    <t xml:space="preserve">lote mixto</t>
  </si>
  <si>
    <t xml:space="preserve">Usados</t>
  </si>
  <si>
    <t xml:space="preserve">Aparentan ser de MÁS DE UNA TEMPORADA. Clasificar y separar por juego.</t>
  </si>
  <si>
    <t xml:space="preserve">Contar físicamente; Definir si es VEX o FTC</t>
  </si>
  <si>
    <t xml:space="preserve">Caja de repuestos del campo</t>
  </si>
  <si>
    <t xml:space="preserve">1 caja grande</t>
  </si>
  <si>
    <t xml:space="preserve">Guardada bajo el campo. Contenido sin desglosar.</t>
  </si>
  <si>
    <t xml:space="preserve">Bolsas de transporte VEX</t>
  </si>
  <si>
    <t xml:space="preserve">varias</t>
  </si>
  <si>
    <t xml:space="preserve">Usadas</t>
  </si>
  <si>
    <t xml:space="preserve">Para guardar y transportar el campo. CONTAR.</t>
  </si>
  <si>
    <t xml:space="preserve">INVENTARIO — ROBÓTICA FTC</t>
  </si>
  <si>
    <t xml:space="preserve">⚠ Prohibido mezclar con piezas de VEX.</t>
  </si>
  <si>
    <t xml:space="preserve">Control Hub</t>
  </si>
  <si>
    <t xml:space="preserve">REV Robotics</t>
  </si>
  <si>
    <t xml:space="preserve">Usado, sucio</t>
  </si>
  <si>
    <t xml:space="preserve">Robótica FTC</t>
  </si>
  <si>
    <t xml:space="preserve">Pieza clave FTC. REGISTRAR número de serie</t>
  </si>
  <si>
    <t xml:space="preserve">Caja de Driver Hub</t>
  </si>
  <si>
    <t xml:space="preserve">Caja abierta</t>
  </si>
  <si>
    <t xml:space="preserve">VERIFICAR si el Driver Hub está adentro</t>
  </si>
  <si>
    <t xml:space="preserve">Cajas REV adicionales apiladas</t>
  </si>
  <si>
    <t xml:space="preserve">Contenido sin verificar. ABRIR una por una</t>
  </si>
  <si>
    <t xml:space="preserve">Abrir y revisar contenido; Verificar dato/contenido</t>
  </si>
  <si>
    <t xml:space="preserve">Cajas FIRST Tech Challenge (naranja)</t>
  </si>
  <si>
    <t xml:space="preserve">Contenido sin verificar</t>
  </si>
  <si>
    <t xml:space="preserve">Kit UltraPlanetary Gearbox + HD Hex Motor</t>
  </si>
  <si>
    <t xml:space="preserve">REV-41-1600</t>
  </si>
  <si>
    <t xml:space="preserve">1 caja</t>
  </si>
  <si>
    <t xml:space="preserve">Rotulada 'Importante, no tirar'</t>
  </si>
  <si>
    <t xml:space="preserve">Verificar contenido completo</t>
  </si>
  <si>
    <t xml:space="preserve">Piñón 550 Motor Pinion Gear 13T, 2 pack</t>
  </si>
  <si>
    <t xml:space="preserve">REV-41-1608-PK2</t>
  </si>
  <si>
    <t xml:space="preserve">1 bolsa</t>
  </si>
  <si>
    <t xml:space="preserve">Rotulada a mano 'Sensores REV': verificar correspondencia</t>
  </si>
  <si>
    <t xml:space="preserve">Tuercas Nylock M3, 100 pzas</t>
  </si>
  <si>
    <t xml:space="preserve">REV-41-1361</t>
  </si>
  <si>
    <t xml:space="preserve">Parcialmente usada</t>
  </si>
  <si>
    <t xml:space="preserve">Rodamiento tipo lazy susan (aro giratorio)</t>
  </si>
  <si>
    <t xml:space="preserve">Usado</t>
  </si>
  <si>
    <t xml:space="preserve">Aluminio, aprox. 30 cm</t>
  </si>
  <si>
    <t xml:space="preserve">Llanta con maza de robot</t>
  </si>
  <si>
    <t xml:space="preserve">Usada</t>
  </si>
  <si>
    <t xml:space="preserve">Suelta sobre la mesa</t>
  </si>
  <si>
    <t xml:space="preserve">Llanta pequeña amarilla/negra</t>
  </si>
  <si>
    <t xml:space="preserve">Interruptor de batería FTC (switch principal)</t>
  </si>
  <si>
    <t xml:space="preserve">Con cableado rojo/negro</t>
  </si>
  <si>
    <t xml:space="preserve">Motor con caja reductora (HD Hex)</t>
  </si>
  <si>
    <t xml:space="preserve">REV</t>
  </si>
  <si>
    <t xml:space="preserve">Sobre la mesa junto al Control Hub</t>
  </si>
  <si>
    <t xml:space="preserve">Piezas impresas en 3D (negras) para robot</t>
  </si>
  <si>
    <t xml:space="preserve">~15</t>
  </si>
  <si>
    <t xml:space="preserve">Soportes, brackets y engranes</t>
  </si>
  <si>
    <t xml:space="preserve">Bandas dentadas / cadena de arrastre</t>
  </si>
  <si>
    <t xml:space="preserve">Misma canasta</t>
  </si>
  <si>
    <t xml:space="preserve">Llantas de robot con maza (canasta negra)</t>
  </si>
  <si>
    <t xml:space="preserve">Servos REV Smart Robot Servo</t>
  </si>
  <si>
    <t xml:space="preserve">bolsa, ~10</t>
  </si>
  <si>
    <t xml:space="preserve">Usados, revueltos</t>
  </si>
  <si>
    <t xml:space="preserve">CONTAR uno por uno: equipo FTC de valor</t>
  </si>
  <si>
    <t xml:space="preserve">Cable adaptador OTG para Android</t>
  </si>
  <si>
    <t xml:space="preserve">Accesorio de Driver Station</t>
  </si>
  <si>
    <t xml:space="preserve">Caja REV FTC Starter Kit V3</t>
  </si>
  <si>
    <t xml:space="preserve">Etiquetada en contenedor naranja</t>
  </si>
  <si>
    <t xml:space="preserve">Verificar si el contenido corresponde al kit</t>
  </si>
  <si>
    <t xml:space="preserve">Controles de videojuego USB</t>
  </si>
  <si>
    <t xml:space="preserve">Logitech y genéricos</t>
  </si>
  <si>
    <t xml:space="preserve">6</t>
  </si>
  <si>
    <t xml:space="preserve">Dentro de contenedor naranja</t>
  </si>
  <si>
    <t xml:space="preserve">Cargador de batería NiMH</t>
  </si>
  <si>
    <t xml:space="preserve">REV-31-1299</t>
  </si>
  <si>
    <t xml:space="preserve">Motores DC con reductor (tipo abeja)</t>
  </si>
  <si>
    <t xml:space="preserve">s/m (amarillo/negro)</t>
  </si>
  <si>
    <t xml:space="preserve">Probable goBILDA/Modern Robotics. Identificar modelo</t>
  </si>
  <si>
    <t xml:space="preserve">Caja porta-batería FTC negra</t>
  </si>
  <si>
    <t xml:space="preserve">Perfil estructural de aluminio y canales</t>
  </si>
  <si>
    <t xml:space="preserve">1 contenedor lleno</t>
  </si>
  <si>
    <t xml:space="preserve">Extrusión, U-channel, ángulos, varilla roscada. Volumen grande</t>
  </si>
  <si>
    <t xml:space="preserve">Placas, brackets y herrajes REV surtidos</t>
  </si>
  <si>
    <t xml:space="preserve">~20 bolsas</t>
  </si>
  <si>
    <t xml:space="preserve">Nuevos y parciales</t>
  </si>
  <si>
    <t xml:space="preserve">Mezclados en contenedor</t>
  </si>
  <si>
    <t xml:space="preserve">Flat Mounting Bracket UltraPlanetary</t>
  </si>
  <si>
    <t xml:space="preserve">REV-41-1624</t>
  </si>
  <si>
    <t xml:space="preserve">1 bolsa (4 pz)</t>
  </si>
  <si>
    <t xml:space="preserve">Plastic Lap Corner Bracket 8-pack</t>
  </si>
  <si>
    <t xml:space="preserve">REV-41-1321-PK8</t>
  </si>
  <si>
    <t xml:space="preserve">Engrane plástico 60 dientes, 4-pack</t>
  </si>
  <si>
    <t xml:space="preserve">REV-41-1335-PK4</t>
  </si>
  <si>
    <t xml:space="preserve">Corner Element Generic Hardware</t>
  </si>
  <si>
    <t xml:space="preserve">AndyMark arm-5405h</t>
  </si>
  <si>
    <t xml:space="preserve">Aluminum Servo Horn V2</t>
  </si>
  <si>
    <t xml:space="preserve">REV-41-1828</t>
  </si>
  <si>
    <t xml:space="preserve">Through Bore Bearing</t>
  </si>
  <si>
    <t xml:space="preserve">Caja FTC Sensor Bundle</t>
  </si>
  <si>
    <t xml:space="preserve">Verificar sensores dentro</t>
  </si>
  <si>
    <t xml:space="preserve">Caja de tornillería y refacciones REV surtidas</t>
  </si>
  <si>
    <t xml:space="preserve">Bolsas surtidas</t>
  </si>
  <si>
    <t xml:space="preserve">Engranes hex, shafts, rondanas, tornillos</t>
  </si>
  <si>
    <t xml:space="preserve">Contenedor con ligas quirúrgicas y refacciones</t>
  </si>
  <si>
    <t xml:space="preserve">REV / goBILDA</t>
  </si>
  <si>
    <t xml:space="preserve">Parcial</t>
  </si>
  <si>
    <t xml:space="preserve">Tubo latex 2907-0305-0002, REV-41-1319-PK4, cinchos, engranes</t>
  </si>
  <si>
    <t xml:space="preserve">INVENTARIO — HERRAMIENTAS MANUALES Y DE MEDICIÓN</t>
  </si>
  <si>
    <t xml:space="preserve">Herramienta de mano y de medición de uso general del laboratorio (no eléctrica, no motorizada).</t>
  </si>
  <si>
    <t xml:space="preserve">Juego de dados y matraca 42 pzas</t>
  </si>
  <si>
    <t xml:space="preserve">Craftsman 999941</t>
  </si>
  <si>
    <t xml:space="preserve">Herramienta manual</t>
  </si>
  <si>
    <t xml:space="preserve">Rotulado a mano 'Prepa'. VERIFICAR las 42 piezas</t>
  </si>
  <si>
    <t xml:space="preserve">Juego de brocas Thunderbolt óxido negro</t>
  </si>
  <si>
    <t xml:space="preserve">Milwaukee</t>
  </si>
  <si>
    <t xml:space="preserve">2 estuches</t>
  </si>
  <si>
    <t xml:space="preserve">Usadas, INCOMPLETAS</t>
  </si>
  <si>
    <t xml:space="preserve">Uno rotulado '21 pz'. FALTAN brocas en ambos: contar y anotar faltantes</t>
  </si>
  <si>
    <t xml:space="preserve">Contar físicamente; Falta pieza/dato; Registrar serie/medida</t>
  </si>
  <si>
    <t xml:space="preserve">Juego de pinzas en estuche de tela</t>
  </si>
  <si>
    <t xml:space="preserve">Craftsman</t>
  </si>
  <si>
    <t xml:space="preserve">1 (5 pzas)</t>
  </si>
  <si>
    <t xml:space="preserve">Usadas, con óxido</t>
  </si>
  <si>
    <t xml:space="preserve">Electricista, punta larga, corte diagonal y otras</t>
  </si>
  <si>
    <t xml:space="preserve">Flexómetro Gripper 5 m / 16'</t>
  </si>
  <si>
    <t xml:space="preserve">Truper FH-5M</t>
  </si>
  <si>
    <t xml:space="preserve">Medición</t>
  </si>
  <si>
    <t xml:space="preserve">Regla metálica 60 cm</t>
  </si>
  <si>
    <t xml:space="preserve">Punzón / rayador de precisión rojo</t>
  </si>
  <si>
    <t xml:space="preserve">Serrote 14" Diamante</t>
  </si>
  <si>
    <t xml:space="preserve">Truper 18166 STCX-14</t>
  </si>
  <si>
    <t xml:space="preserve">Marcados 'P13'</t>
  </si>
  <si>
    <t xml:space="preserve">Arco de segueta</t>
  </si>
  <si>
    <t xml:space="preserve">Truper / Pretul</t>
  </si>
  <si>
    <t xml:space="preserve">Uno naranja, uno gris</t>
  </si>
  <si>
    <t xml:space="preserve">Martillo de uña mango de madera</t>
  </si>
  <si>
    <t xml:space="preserve">Truper</t>
  </si>
  <si>
    <t xml:space="preserve">Martillo de uña mango tubular</t>
  </si>
  <si>
    <t xml:space="preserve">Pretul</t>
  </si>
  <si>
    <t xml:space="preserve">Mazo de goma 16 oz</t>
  </si>
  <si>
    <t xml:space="preserve">Uno marcado 'BACH'</t>
  </si>
  <si>
    <t xml:space="preserve">Destornilladores surtidos (cajón)</t>
  </si>
  <si>
    <t xml:space="preserve">Husky y otros</t>
  </si>
  <si>
    <t xml:space="preserve">~17</t>
  </si>
  <si>
    <t xml:space="preserve">CONTAR físicamente</t>
  </si>
  <si>
    <t xml:space="preserve">Juego destornilladores 6 pzas</t>
  </si>
  <si>
    <t xml:space="preserve">Anvil 906504</t>
  </si>
  <si>
    <t xml:space="preserve">En blíster, casi nuevo</t>
  </si>
  <si>
    <t xml:space="preserve">Marcado 'BACH'</t>
  </si>
  <si>
    <t xml:space="preserve">Destornilladores sueltos (mango azul/negro)</t>
  </si>
  <si>
    <t xml:space="preserve">~8</t>
  </si>
  <si>
    <t xml:space="preserve">Pinzas de presión</t>
  </si>
  <si>
    <t xml:space="preserve">5</t>
  </si>
  <si>
    <t xml:space="preserve">Pinza punta larga y pinza de mecánico</t>
  </si>
  <si>
    <t xml:space="preserve">Pinza de corte flush</t>
  </si>
  <si>
    <t xml:space="preserve">Husky</t>
  </si>
  <si>
    <t xml:space="preserve">Prensas rápidas / sargentos</t>
  </si>
  <si>
    <t xml:space="preserve">Irwin Quick-Grip y Truper</t>
  </si>
  <si>
    <t xml:space="preserve">~12</t>
  </si>
  <si>
    <t xml:space="preserve">Varias marcadas 'P13'. Contar por tamaño (6" y grandes)</t>
  </si>
  <si>
    <t xml:space="preserve">Limas surtidas (plana, redonda, media caña, escofina)</t>
  </si>
  <si>
    <t xml:space="preserve">~10</t>
  </si>
  <si>
    <t xml:space="preserve">Llaves allen sueltas (caja negra)</t>
  </si>
  <si>
    <t xml:space="preserve">~20</t>
  </si>
  <si>
    <t xml:space="preserve">Oxidadas</t>
  </si>
  <si>
    <t xml:space="preserve">Juegos de llaves allen en soporte</t>
  </si>
  <si>
    <t xml:space="preserve">Husky (SAE y métrico)</t>
  </si>
  <si>
    <t xml:space="preserve">4 juegos</t>
  </si>
  <si>
    <t xml:space="preserve">Marcados 'BACH'</t>
  </si>
  <si>
    <t xml:space="preserve">Juego de llaves combinadas 20 pzas</t>
  </si>
  <si>
    <t xml:space="preserve">Truper Expert 13691 JC-20PM</t>
  </si>
  <si>
    <t xml:space="preserve">INCOMPLETO</t>
  </si>
  <si>
    <t xml:space="preserve">En el estuche solo ~9 llaves. FALTAN varias: anotar medidas presentes</t>
  </si>
  <si>
    <t xml:space="preserve">Falta pieza/dato; Registrar serie/medida</t>
  </si>
  <si>
    <t xml:space="preserve">Nivel de aluminio</t>
  </si>
  <si>
    <t xml:space="preserve">Vernier digital 6" IP54</t>
  </si>
  <si>
    <t xml:space="preserve">Usado, con pila</t>
  </si>
  <si>
    <t xml:space="preserve">Vernier analógico 6"</t>
  </si>
  <si>
    <t xml:space="preserve">Flexómetro 5 m / 16'</t>
  </si>
  <si>
    <t xml:space="preserve">Pretul PRO-5MEC</t>
  </si>
  <si>
    <t xml:space="preserve">Cutters / navajas retráctiles</t>
  </si>
  <si>
    <t xml:space="preserve">Tornillo de banco 4" tipo europeo</t>
  </si>
  <si>
    <t xml:space="preserve">Truper TA-4-L</t>
  </si>
  <si>
    <t xml:space="preserve">Nuevo, en caja</t>
  </si>
  <si>
    <t xml:space="preserve">Hierro nodular, gira 120°</t>
  </si>
  <si>
    <t xml:space="preserve">INVENTARIO — HERRAMIENTAS ELÉCTRICAS Y EQUIPO PESADO</t>
  </si>
  <si>
    <t xml:space="preserve">Máquinas y equipo con motor o alimentación eléctrica significativa: láser, cortadora de vinil, kit Milwaukee, taladro de banco, aspiradora industrial, impresoras 3D y estación de electrónica.</t>
  </si>
  <si>
    <t xml:space="preserve">Cortadora de vinil</t>
  </si>
  <si>
    <t xml:space="preserve">Silhouette Cameo 4</t>
  </si>
  <si>
    <t xml:space="preserve">En caja original</t>
  </si>
  <si>
    <t xml:space="preserve">Corte y vinil</t>
  </si>
  <si>
    <t xml:space="preserve">Distribuidor Tecnowire. Parece nueva o poco usada</t>
  </si>
  <si>
    <t xml:space="preserve">Eliminador y cable de corriente para Cameo</t>
  </si>
  <si>
    <t xml:space="preserve">Silhouette</t>
  </si>
  <si>
    <t xml:space="preserve">Completo</t>
  </si>
  <si>
    <t xml:space="preserve">Dentro de la caja, bajo la máquina</t>
  </si>
  <si>
    <t xml:space="preserve">Máquina de corte y grabado láser CO2</t>
  </si>
  <si>
    <t xml:space="preserve">Turbo Láser (GDL)</t>
  </si>
  <si>
    <t xml:space="preserve">Operativa aparentemente</t>
  </si>
  <si>
    <t xml:space="preserve">Láser</t>
  </si>
  <si>
    <t xml:space="preserve">Panel tipo Ruida, paro de emergencia, ruedas. FALTA placa de serie y potencia del tubo</t>
  </si>
  <si>
    <t xml:space="preserve">Chiller industrial de agua</t>
  </si>
  <si>
    <t xml:space="preserve">S&amp;A CW-3000DG</t>
  </si>
  <si>
    <t xml:space="preserve">Instalado</t>
  </si>
  <si>
    <t xml:space="preserve">110 V, tanque 9 L, CFG 10008</t>
  </si>
  <si>
    <t xml:space="preserve">Bomba de aire (air assist)</t>
  </si>
  <si>
    <t xml:space="preserve">ACO-005</t>
  </si>
  <si>
    <t xml:space="preserve">Montada sobre el chiller</t>
  </si>
  <si>
    <t xml:space="preserve">110 V, 80 W, 70 L/min</t>
  </si>
  <si>
    <t xml:space="preserve">Regulador de voltaje</t>
  </si>
  <si>
    <t xml:space="preserve">CDP R-AVR 3008</t>
  </si>
  <si>
    <t xml:space="preserve">Funcionando</t>
  </si>
  <si>
    <t xml:space="preserve">3000 VA / 2400 W. Serie 221210-2460358</t>
  </si>
  <si>
    <t xml:space="preserve">Multicontacto con supresor de picos</t>
  </si>
  <si>
    <t xml:space="preserve">s/m (negro, ~8 tomas)</t>
  </si>
  <si>
    <t xml:space="preserve">En uso</t>
  </si>
  <si>
    <t xml:space="preserve">Sobre el láser</t>
  </si>
  <si>
    <t xml:space="preserve">Ducto flexible aluminizado de extracción</t>
  </si>
  <si>
    <t xml:space="preserve">Conectado al láser</t>
  </si>
  <si>
    <t xml:space="preserve">Maletín de tela con cargador y batería</t>
  </si>
  <si>
    <t xml:space="preserve">Herramienta eléctrica</t>
  </si>
  <si>
    <t xml:space="preserve">Contiene cargador M12/M18, batería M12 y manual</t>
  </si>
  <si>
    <t xml:space="preserve">Cargador de baterías M12/M18</t>
  </si>
  <si>
    <t xml:space="preserve">Serie parcialmente visible: ANOTAR</t>
  </si>
  <si>
    <t xml:space="preserve">Batería recargable M12 RedLithium</t>
  </si>
  <si>
    <t xml:space="preserve">Verificar si hay más baterías en la bolsa</t>
  </si>
  <si>
    <t xml:space="preserve">Desoldador de succión</t>
  </si>
  <si>
    <t xml:space="preserve">Nuevo, en empaque</t>
  </si>
  <si>
    <t xml:space="preserve">Electrónica</t>
  </si>
  <si>
    <t xml:space="preserve">Multímetro digital profesional</t>
  </si>
  <si>
    <t xml:space="preserve">Truper MUT-50A (100361)</t>
  </si>
  <si>
    <t xml:space="preserve">Cautín de estación con control de potencia 45 W</t>
  </si>
  <si>
    <t xml:space="preserve">Steren CAU-190</t>
  </si>
  <si>
    <t xml:space="preserve">Rotulados a mano '#1' y '#2'</t>
  </si>
  <si>
    <t xml:space="preserve">Kit de soldadura en estuche azul</t>
  </si>
  <si>
    <t xml:space="preserve">Cautín 60 W, desoldador, soldadura, cable, esponja, puntas</t>
  </si>
  <si>
    <t xml:space="preserve">Desoldador de succión azul</t>
  </si>
  <si>
    <t xml:space="preserve">En cajón</t>
  </si>
  <si>
    <t xml:space="preserve">Mini atril con lupa 3x</t>
  </si>
  <si>
    <t xml:space="preserve">Steren HER-700</t>
  </si>
  <si>
    <t xml:space="preserve">8 articulaciones, caimanes</t>
  </si>
  <si>
    <t xml:space="preserve">Impresora 3D FDM</t>
  </si>
  <si>
    <t xml:space="preserve">Creality Ender-3</t>
  </si>
  <si>
    <t xml:space="preserve">Operativa, sucia de filamento</t>
  </si>
  <si>
    <t xml:space="preserve">Impresión 3D</t>
  </si>
  <si>
    <t xml:space="preserve">Etiqueta: PREPA 13 AZTECA / CREALITY 3D ENDER-3 SAINSMART X / P13/0276. Serie P-3000000000000000238201001020167. 220x220x250 mm, 270 W. Extrusor SainSmart</t>
  </si>
  <si>
    <t xml:space="preserve">Creality Ender-3 Neo</t>
  </si>
  <si>
    <t xml:space="preserve">Operativa</t>
  </si>
  <si>
    <t xml:space="preserve">Serie 100003484833122JYZR. 350 W, cama de vidrio. SIN ETIQUETA INSTITUCIONAL: pedir número de resguardo</t>
  </si>
  <si>
    <t xml:space="preserve">Taladro de banco / columna</t>
  </si>
  <si>
    <t xml:space="preserve">Operativo, óxido en mesa</t>
  </si>
  <si>
    <t xml:space="preserve">Maquinaria</t>
  </si>
  <si>
    <t xml:space="preserve">FALTA fotografiar placa de modelo y potencia</t>
  </si>
  <si>
    <t xml:space="preserve">Aspiradora para líquidos y sólidos 15 L</t>
  </si>
  <si>
    <t xml:space="preserve">DeWalt DXV04T</t>
  </si>
  <si>
    <t xml:space="preserve">NUEVA, en caja sellada</t>
  </si>
  <si>
    <t xml:space="preserve">4 galones, 5 HP pico</t>
  </si>
  <si>
    <t xml:space="preserve">INVENTARIO — CONSUMIBLES Y MATERIA PRIMA</t>
  </si>
  <si>
    <t xml:space="preserve">Insumos que se gastan o se reponen: cintas, lijas, filamento, tornillería, conectores, refacciones y materia prima suelta.</t>
  </si>
  <si>
    <t xml:space="preserve">Rollo de vinil azul claro</t>
  </si>
  <si>
    <t xml:space="preserve">Empacado</t>
  </si>
  <si>
    <t xml:space="preserve">Dentro de la caja de la Cameo</t>
  </si>
  <si>
    <t xml:space="preserve">Rollos de vinil / film blanco</t>
  </si>
  <si>
    <t xml:space="preserve">OLLIN / NITTO</t>
  </si>
  <si>
    <t xml:space="preserve">Sellados</t>
  </si>
  <si>
    <t xml:space="preserve">Verificar si es vinil de corte o papel transfer</t>
  </si>
  <si>
    <t xml:space="preserve">Rollo de material café (¿papel transfer?)</t>
  </si>
  <si>
    <t xml:space="preserve">Envuelto en plástico</t>
  </si>
  <si>
    <t xml:space="preserve">Sin etiqueta visible</t>
  </si>
  <si>
    <t xml:space="preserve">Espátulas / esparcidores de vinil</t>
  </si>
  <si>
    <t xml:space="preserve">~14</t>
  </si>
  <si>
    <t xml:space="preserve">Amarillos, azules, rojos y negros. CONTAR</t>
  </si>
  <si>
    <t xml:space="preserve">Rasquetas azules con mango</t>
  </si>
  <si>
    <t xml:space="preserve">Nuevas, en plástico</t>
  </si>
  <si>
    <t xml:space="preserve">Paquete envuelto. CONTAR al abrir</t>
  </si>
  <si>
    <t xml:space="preserve">Varilla roscada</t>
  </si>
  <si>
    <t xml:space="preserve">Material</t>
  </si>
  <si>
    <t xml:space="preserve">Sueltas en canasta</t>
  </si>
  <si>
    <t xml:space="preserve">Barra / tubo negro</t>
  </si>
  <si>
    <t xml:space="preserve">Sin identificar</t>
  </si>
  <si>
    <t xml:space="preserve">Tabla de corte con cuadrícula</t>
  </si>
  <si>
    <t xml:space="preserve">Debajo de la canasta roja</t>
  </si>
  <si>
    <t xml:space="preserve">Conectores XT30/XT60 sueltos</t>
  </si>
  <si>
    <t xml:space="preserve">~6</t>
  </si>
  <si>
    <t xml:space="preserve">En bolsa</t>
  </si>
  <si>
    <t xml:space="preserve">Soldadura para electrónica 60/40, 1 mm</t>
  </si>
  <si>
    <t xml:space="preserve">Truper 14366</t>
  </si>
  <si>
    <t xml:space="preserve">1 carrete</t>
  </si>
  <si>
    <t xml:space="preserve">Parcialmente usado</t>
  </si>
  <si>
    <t xml:space="preserve">Boquilla / punta de repuesto</t>
  </si>
  <si>
    <t xml:space="preserve">Creality</t>
  </si>
  <si>
    <t xml:space="preserve">Cinta doble cara</t>
  </si>
  <si>
    <t xml:space="preserve">Janel</t>
  </si>
  <si>
    <t xml:space="preserve">2 rollos</t>
  </si>
  <si>
    <t xml:space="preserve">Parcialmente usados</t>
  </si>
  <si>
    <t xml:space="preserve">Cinta masking</t>
  </si>
  <si>
    <t xml:space="preserve">Cinta azul de pintor</t>
  </si>
  <si>
    <t xml:space="preserve">1 rollo</t>
  </si>
  <si>
    <t xml:space="preserve">Lija de banda / rollo abrasivo</t>
  </si>
  <si>
    <t xml:space="preserve">Lija de tambor 1/4" para rotatoria</t>
  </si>
  <si>
    <t xml:space="preserve">1 empaque</t>
  </si>
  <si>
    <t xml:space="preserve">Etiqueta de $30.00</t>
  </si>
  <si>
    <t xml:space="preserve">Cuerda trenzada verde/blanca</t>
  </si>
  <si>
    <t xml:space="preserve">Ángulos metálicos de refuerzo</t>
  </si>
  <si>
    <t xml:space="preserve">Canasta con piezas de MDF cortadas a láser</t>
  </si>
  <si>
    <t xml:space="preserve">1 canasta</t>
  </si>
  <si>
    <t xml:space="preserve">Chasis y soportes de robots anteriores</t>
  </si>
  <si>
    <t xml:space="preserve">Hojas de segueta</t>
  </si>
  <si>
    <t xml:space="preserve">Truper Expert SBI-24 y otras</t>
  </si>
  <si>
    <t xml:space="preserve">Usadas y nuevas</t>
  </si>
  <si>
    <t xml:space="preserve">Una marcada 'BACH'</t>
  </si>
  <si>
    <t xml:space="preserve">Accesorios Dremel Moto-Saw corte madera</t>
  </si>
  <si>
    <t xml:space="preserve">Dremel MS52-01</t>
  </si>
  <si>
    <t xml:space="preserve">2 paquetes</t>
  </si>
  <si>
    <t xml:space="preserve">Accesorios Dremel Moto-Saw corte metal</t>
  </si>
  <si>
    <t xml:space="preserve">Dremel MS53-01</t>
  </si>
  <si>
    <t xml:space="preserve">Hojas para sierra caladora madera</t>
  </si>
  <si>
    <t xml:space="preserve">Bosch U144D HCS</t>
  </si>
  <si>
    <t xml:space="preserve">1 paquete</t>
  </si>
  <si>
    <t xml:space="preserve">Hojas para sierra caladora metal</t>
  </si>
  <si>
    <t xml:space="preserve">Truper SU-118-A</t>
  </si>
  <si>
    <t xml:space="preserve">5 piezas c/u</t>
  </si>
  <si>
    <t xml:space="preserve">Filamento 3D rojo (bobina)</t>
  </si>
  <si>
    <t xml:space="preserve">Verificar material y peso restante</t>
  </si>
  <si>
    <t xml:space="preserve">Filamento 3D en caja</t>
  </si>
  <si>
    <t xml:space="preserve">Xingtongzhilian</t>
  </si>
  <si>
    <t xml:space="preserve">Sellado</t>
  </si>
  <si>
    <t xml:space="preserve">Pack de conectores XT30</t>
  </si>
  <si>
    <t xml:space="preserve">REV 3903-0102-0505</t>
  </si>
  <si>
    <t xml:space="preserve">1 (5 MH + 5 FC)</t>
  </si>
  <si>
    <t xml:space="preserve">Tornillos drywall #6 x 1/2"</t>
  </si>
  <si>
    <t xml:space="preserve">Fiero</t>
  </si>
  <si>
    <t xml:space="preserve">Ferretería</t>
  </si>
  <si>
    <t xml:space="preserve">Tornillos y tuercas surtidos</t>
  </si>
  <si>
    <t xml:space="preserve">1 bolsa grande</t>
  </si>
  <si>
    <t xml:space="preserve">Cinchos de plástico negros</t>
  </si>
  <si>
    <t xml:space="preserve">Etiquetas adheribles blancas</t>
  </si>
  <si>
    <t xml:space="preserve">1 block</t>
  </si>
  <si>
    <t xml:space="preserve">Papelería</t>
  </si>
  <si>
    <t xml:space="preserve">Estuche de puntas / tips de cautín</t>
  </si>
  <si>
    <t xml:space="preserve">Dentro del kit azul</t>
  </si>
  <si>
    <t xml:space="preserve">MicroSD para impresora</t>
  </si>
  <si>
    <t xml:space="preserve">Una en cada impresora</t>
  </si>
  <si>
    <t xml:space="preserve">Rieles de aluminio (correderas)</t>
  </si>
  <si>
    <t xml:space="preserve">Sobre la mesa</t>
  </si>
  <si>
    <t xml:space="preserve">Placas y ángulos metálicos surtidos</t>
  </si>
  <si>
    <t xml:space="preserve">En gaveta superior</t>
  </si>
  <si>
    <t xml:space="preserve">Botella de líquido rotulada 'LASER'</t>
  </si>
  <si>
    <t xml:space="preserve">Probable limpiador de lente</t>
  </si>
  <si>
    <t xml:space="preserve">INVENTARIO — MATERIAL COMÚN</t>
  </si>
  <si>
    <t xml:space="preserve">Cómputo, mobiliario, seguridad, eléctrico general y otros artículos compartidos del laboratorio que no encajan en las demás categorías.</t>
  </si>
  <si>
    <t xml:space="preserve">Tapetes de foamy tipo tatami</t>
  </si>
  <si>
    <t xml:space="preserve">~9</t>
  </si>
  <si>
    <t xml:space="preserve">Usados, sucios</t>
  </si>
  <si>
    <t xml:space="preserve">Laboratorio</t>
  </si>
  <si>
    <t xml:space="preserve">Conteo desde foto: CONTAR físicamente</t>
  </si>
  <si>
    <t xml:space="preserve">Mouse óptico USB</t>
  </si>
  <si>
    <t xml:space="preserve">Cómputo</t>
  </si>
  <si>
    <t xml:space="preserve">Multicontacto 8 entradas, 1 m, 14 AWG</t>
  </si>
  <si>
    <t xml:space="preserve">a&amp;t</t>
  </si>
  <si>
    <t xml:space="preserve">Nuevo, sellado</t>
  </si>
  <si>
    <t xml:space="preserve">Eléctrico</t>
  </si>
  <si>
    <t xml:space="preserve">125 V, 15 A, 1875 W</t>
  </si>
  <si>
    <t xml:space="preserve">Stickers / calcomanías equipo Aztecbot FTC</t>
  </si>
  <si>
    <t xml:space="preserve">varios</t>
  </si>
  <si>
    <t xml:space="preserve">Otros</t>
  </si>
  <si>
    <t xml:space="preserve">Equipo #22571, Mérida</t>
  </si>
  <si>
    <t xml:space="preserve">Gabinete de herramientas con cajones</t>
  </si>
  <si>
    <t xml:space="preserve">Mobiliario</t>
  </si>
  <si>
    <t xml:space="preserve">Contiene los cajones de las filas 63 a 89</t>
  </si>
  <si>
    <t xml:space="preserve">Carrete de extensión eléctrica 10 m</t>
  </si>
  <si>
    <t xml:space="preserve">Etiqueta: PREPA 13 AZTECA / EXTENSIÓN CARRETE / P13/0264</t>
  </si>
  <si>
    <t xml:space="preserve">Teclado (emplayado)</t>
  </si>
  <si>
    <t xml:space="preserve">Sobre el contenedor naranja</t>
  </si>
  <si>
    <t xml:space="preserve">Monitor o pantalla plana negra</t>
  </si>
  <si>
    <t xml:space="preserve">Dentro del contenedor</t>
  </si>
  <si>
    <t xml:space="preserve">Verificar marca y medida</t>
  </si>
  <si>
    <t xml:space="preserve">Caja Dremel 3000</t>
  </si>
  <si>
    <t xml:space="preserve">Dremel 3000</t>
  </si>
  <si>
    <t xml:space="preserve">Caja visible</t>
  </si>
  <si>
    <t xml:space="preserve">Cajas vacías / verificar</t>
  </si>
  <si>
    <t xml:space="preserve">Ver fila 139: el estuche está VACÍO</t>
  </si>
  <si>
    <t xml:space="preserve">Organizadores de pared tipo gaveta</t>
  </si>
  <si>
    <t xml:space="preserve">20</t>
  </si>
  <si>
    <t xml:space="preserve">Usados, mayoría vacíos</t>
  </si>
  <si>
    <t xml:space="preserve">Sobre panel perforado. Una gaveta con placas metálicas</t>
  </si>
  <si>
    <t xml:space="preserve">Lentes de seguridad transparentes</t>
  </si>
  <si>
    <t xml:space="preserve">Seguridad</t>
  </si>
  <si>
    <t xml:space="preserve">Colgados en panel; algunos con banda rota</t>
  </si>
  <si>
    <t xml:space="preserve">Panel perforado de pared (pegboard) con ganchos</t>
  </si>
  <si>
    <t xml:space="preserve">2 secciones</t>
  </si>
  <si>
    <t xml:space="preserve">Instalados</t>
  </si>
  <si>
    <t xml:space="preserve">Con ~10 ganchos</t>
  </si>
  <si>
    <t xml:space="preserve">Regulador / supresor de picos</t>
  </si>
  <si>
    <t xml:space="preserve">Koblenz Protektor RS-1410</t>
  </si>
  <si>
    <t xml:space="preserve">En piso junto a ventana</t>
  </si>
  <si>
    <t xml:space="preserve">Estuche Dremel verde</t>
  </si>
  <si>
    <t xml:space="preserve">Dremel</t>
  </si>
  <si>
    <t xml:space="preserve">VACÍO</t>
  </si>
  <si>
    <t xml:space="preserve">Sin herramienta ni accesorios</t>
  </si>
  <si>
    <t xml:space="preserve">Estuche Dremel 3000 gris</t>
  </si>
  <si>
    <t xml:space="preserve">Solo instructivo y un tambor de lija. Caja exterior rotulada 'Aztecbot #22571'</t>
  </si>
  <si>
    <t xml:space="preserve">Extintor</t>
  </si>
  <si>
    <t xml:space="preserve">Verificar fecha de recarga</t>
  </si>
  <si>
    <t xml:space="preserve">Mesa de trabajo de madera con estructura metálica</t>
  </si>
  <si>
    <t xml:space="preserve">2 o más</t>
  </si>
  <si>
    <t xml:space="preserve">Mobiliario del laboratorio</t>
  </si>
  <si>
    <t xml:space="preserve">PENDIENTES DE CLASIFICAR ANTES DE SEPARAR</t>
  </si>
  <si>
    <t xml:space="preserve">⚠ Contenido sin identificar. NO asumir que es "común": abrir, fotografiar e identificar antes de asignarlo a VEX, FTC, Herramientas o Consumibles.</t>
  </si>
  <si>
    <t xml:space="preserve">Caja de madera rotulada TAPA / NO VOLTEAR</t>
  </si>
  <si>
    <t xml:space="preserve">Pendientes</t>
  </si>
  <si>
    <t xml:space="preserve">Contenido sin identificar. ABRIR</t>
  </si>
  <si>
    <t xml:space="preserve">Abrir y revisar contenido; Identificar/etiquetar; Definir si es VEX o FTC antes de guardar</t>
  </si>
  <si>
    <t xml:space="preserve">Piezas hexagonales blancas de plástico</t>
  </si>
  <si>
    <t xml:space="preserve">Sin identificar. Fotografiar de cerca</t>
  </si>
  <si>
    <t xml:space="preserve">Identificar/etiquetar; Definir si es VEX o FTC antes de guardar</t>
  </si>
  <si>
    <t xml:space="preserve">Cajas de cartón grandes sin identificar</t>
  </si>
  <si>
    <t xml:space="preserve">Selladas</t>
  </si>
  <si>
    <t xml:space="preserve">En repisa alta. ABRIR y fotografiar</t>
  </si>
  <si>
    <t xml:space="preserve">Abrir y revisar contenido; Definir si es VEX o FTC antes de guardar</t>
  </si>
  <si>
    <t xml:space="preserve">CONTENIDO DE FÁBRICA — REV FTC Starter Kit V3 (REV-45-1883)</t>
  </si>
  <si>
    <t xml:space="preserve">Lista oficial REV Robotics. IMPORTANTE: este kit NO incluye Control Hub ni Driver Hub; ésos se compran por separado. Llenar solo la columna 'Cant. encontrada'; el faltante se calcula solo. Cantidades en PAQUETES, no en piezas sueltas.</t>
  </si>
  <si>
    <t xml:space="preserve">N.º parte</t>
  </si>
  <si>
    <t xml:space="preserve">Descripción</t>
  </si>
  <si>
    <t xml:space="preserve">Cant. por kit</t>
  </si>
  <si>
    <t xml:space="preserve">Cant. esperada (2 kits)</t>
  </si>
  <si>
    <t xml:space="preserve">Cant. encontrada</t>
  </si>
  <si>
    <t xml:space="preserve">Faltante</t>
  </si>
  <si>
    <t xml:space="preserve">Notas</t>
  </si>
  <si>
    <t xml:space="preserve">ESTRUCTURA</t>
  </si>
  <si>
    <t xml:space="preserve">REV-41-1485</t>
  </si>
  <si>
    <t xml:space="preserve">15mm Metal Bent Servo Bracket V2 - 4 Pack</t>
  </si>
  <si>
    <t xml:space="preserve">REV-41-1433</t>
  </si>
  <si>
    <t xml:space="preserve">15mm Metal Bent Core Hex Motor Bracket V2 - 4 Pack</t>
  </si>
  <si>
    <t xml:space="preserve">REV-41-1480</t>
  </si>
  <si>
    <t xml:space="preserve">15mm Metal 90 Degree Bracket V2 - 8 Pack</t>
  </si>
  <si>
    <t xml:space="preserve">REV-41-1687</t>
  </si>
  <si>
    <t xml:space="preserve">U Channel Endcap</t>
  </si>
  <si>
    <t xml:space="preserve">REV-41-1621</t>
  </si>
  <si>
    <t xml:space="preserve">UltraPlanetary Outside Mounting Bracket - 4 Pack</t>
  </si>
  <si>
    <t xml:space="preserve">REV-41-1623</t>
  </si>
  <si>
    <t xml:space="preserve">UltraPlanetary Bent Mounting Bracket - 4 Pack</t>
  </si>
  <si>
    <t xml:space="preserve">UltraPlanetary Flat Mounting Bracket - 4 Pack</t>
  </si>
  <si>
    <t xml:space="preserve">REV-41-1846</t>
  </si>
  <si>
    <t xml:space="preserve">Motion Pattern Spacer - 8 Pack</t>
  </si>
  <si>
    <t xml:space="preserve">REV-41-1762</t>
  </si>
  <si>
    <t xml:space="preserve">45mm x 15mm C Channel - 408mm</t>
  </si>
  <si>
    <t xml:space="preserve">REV-41-1767</t>
  </si>
  <si>
    <t xml:space="preserve">45mm x 15mm C Channel - 248mm</t>
  </si>
  <si>
    <t xml:space="preserve">REV-41-1166</t>
  </si>
  <si>
    <t xml:space="preserve">Battery Holder Plate - 2 Pack</t>
  </si>
  <si>
    <t xml:space="preserve">REV-41-1303</t>
  </si>
  <si>
    <t xml:space="preserve">15mm Plastic Motion Bracket - 8 Pack</t>
  </si>
  <si>
    <t xml:space="preserve">REV-41-1304</t>
  </si>
  <si>
    <t xml:space="preserve">15mm Plastic Rod End Bracket - 8 Pack</t>
  </si>
  <si>
    <t xml:space="preserve">REV-41-1305</t>
  </si>
  <si>
    <t xml:space="preserve">15mm Plastic 90 Degree Bracket - 8 Pack</t>
  </si>
  <si>
    <t xml:space="preserve">REV-41-1306</t>
  </si>
  <si>
    <t xml:space="preserve">15mm Plastic 60 Degree Bracket - 8 Pack</t>
  </si>
  <si>
    <t xml:space="preserve">REV-41-1307</t>
  </si>
  <si>
    <t xml:space="preserve">15mm Plastic 45 Degree Bracket - 8 Pack</t>
  </si>
  <si>
    <t xml:space="preserve">REV-41-1308</t>
  </si>
  <si>
    <t xml:space="preserve">15mm Plastic 30 Degree Bracket - 8 Pack</t>
  </si>
  <si>
    <t xml:space="preserve">REV-41-1311</t>
  </si>
  <si>
    <t xml:space="preserve">15mm Plastic 120 Degree Bracket - 6 Pack</t>
  </si>
  <si>
    <t xml:space="preserve">REV-41-1313</t>
  </si>
  <si>
    <t xml:space="preserve">15mm Plastic Indexable Motion Bracket - 4 Pack</t>
  </si>
  <si>
    <t xml:space="preserve">REV-41-1315</t>
  </si>
  <si>
    <t xml:space="preserve">15mm Gearbox Motion Bracket - 4 Pack</t>
  </si>
  <si>
    <t xml:space="preserve">REV-41-1318</t>
  </si>
  <si>
    <t xml:space="preserve">15mm Plastic Variable Angle Bracket - 4 Pack</t>
  </si>
  <si>
    <t xml:space="preserve">REV-41-1319</t>
  </si>
  <si>
    <t xml:space="preserve">15mm Plastic Servo Bracket - 2 Pack</t>
  </si>
  <si>
    <t xml:space="preserve">REV-41-1320</t>
  </si>
  <si>
    <t xml:space="preserve">15mm Plastic Inside Corner Bracket - 8 Pack</t>
  </si>
  <si>
    <t xml:space="preserve">REV-41-1321</t>
  </si>
  <si>
    <t xml:space="preserve">15mm Plastic Lap Corner Bracket - 8 Pack</t>
  </si>
  <si>
    <t xml:space="preserve">REV-41-1430</t>
  </si>
  <si>
    <t xml:space="preserve">15mm Extrusion - 150mm - 45° Ends - 2 Pack</t>
  </si>
  <si>
    <t xml:space="preserve">REV-41-1431</t>
  </si>
  <si>
    <t xml:space="preserve">15mm Extrusion - 225mm - 90° Ends - 2 Pack</t>
  </si>
  <si>
    <t xml:space="preserve">REV-41-1432</t>
  </si>
  <si>
    <t xml:space="preserve">15mm Extrusion - 420mm - 90° Ends - 4 Pack</t>
  </si>
  <si>
    <t xml:space="preserve">REV-41-1568</t>
  </si>
  <si>
    <t xml:space="preserve">15mm Extrusion - 120mm - 90° Ends - 2 Pack</t>
  </si>
  <si>
    <t xml:space="preserve">REV-41-1839</t>
  </si>
  <si>
    <t xml:space="preserve">4mm Corrugated Plastic Sheet - 450mm x 300mm</t>
  </si>
  <si>
    <t xml:space="preserve">HERRAMIENTA Y TORNILLERÍA</t>
  </si>
  <si>
    <t xml:space="preserve">REV-45-1882</t>
  </si>
  <si>
    <t xml:space="preserve">Allen Wrench Pack</t>
  </si>
  <si>
    <t xml:space="preserve">REV-41-1373</t>
  </si>
  <si>
    <t xml:space="preserve">Hook and Loop Fastener, 13.5mm x 2m</t>
  </si>
  <si>
    <t xml:space="preserve">REV-41-1125</t>
  </si>
  <si>
    <t xml:space="preserve">M3 x 35mm Hex Cap Screws - 50 Pack</t>
  </si>
  <si>
    <t xml:space="preserve">REV-41-1442</t>
  </si>
  <si>
    <t xml:space="preserve">#25 Chain Tool</t>
  </si>
  <si>
    <t xml:space="preserve">REV-41-1492</t>
  </si>
  <si>
    <t xml:space="preserve">M3 Standoff - 40mm - 4 Pack</t>
  </si>
  <si>
    <t xml:space="preserve">REV-41-1702</t>
  </si>
  <si>
    <t xml:space="preserve">Tensioning Bushing - 39mm - 4 Pack</t>
  </si>
  <si>
    <t xml:space="preserve">REV-41-1119</t>
  </si>
  <si>
    <t xml:space="preserve">5.5mm Nut Driver</t>
  </si>
  <si>
    <t xml:space="preserve">REV-41-1161</t>
  </si>
  <si>
    <t xml:space="preserve">Zip Ties, Black, 160mm - 50 Pack</t>
  </si>
  <si>
    <t xml:space="preserve">REV-41-1163</t>
  </si>
  <si>
    <t xml:space="preserve">Surgical Tubing, 3mm</t>
  </si>
  <si>
    <t xml:space="preserve">REV-41-1907</t>
  </si>
  <si>
    <t xml:space="preserve">M3 x 8mm T-Slot Screw - 25 Pack</t>
  </si>
  <si>
    <t xml:space="preserve">REV-41-1359</t>
  </si>
  <si>
    <t xml:space="preserve">M3 x 8mm Hex Cap Screws - 100 Pack</t>
  </si>
  <si>
    <t xml:space="preserve">REV-41-1360</t>
  </si>
  <si>
    <t xml:space="preserve">M3 x 16mm Hex Cap Screws - 100 Pack</t>
  </si>
  <si>
    <t xml:space="preserve">M3 Nyloc Nuts - 100 Pack</t>
  </si>
  <si>
    <t xml:space="preserve">REV-41-1374</t>
  </si>
  <si>
    <t xml:space="preserve">5.5mm Combination Wrench</t>
  </si>
  <si>
    <t xml:space="preserve">TRANSMISIÓN DE MOVIMIENTO</t>
  </si>
  <si>
    <t xml:space="preserve">REV-41-1364</t>
  </si>
  <si>
    <t xml:space="preserve">Servo Gear Adapter - 4 Pack</t>
  </si>
  <si>
    <t xml:space="preserve">REV-41-1820</t>
  </si>
  <si>
    <t xml:space="preserve">Aluminum Double Servo Arm</t>
  </si>
  <si>
    <t xml:space="preserve">REV-41-1147</t>
  </si>
  <si>
    <t xml:space="preserve">High Strength Hex Hub - 2 Pack</t>
  </si>
  <si>
    <t xml:space="preserve">REV-41-1331</t>
  </si>
  <si>
    <t xml:space="preserve">15 Tooth Plastic Gear - 8 Pack</t>
  </si>
  <si>
    <t xml:space="preserve">REV-41-1332</t>
  </si>
  <si>
    <t xml:space="preserve">30 Tooth Plastic Gear - 4 Pack</t>
  </si>
  <si>
    <t xml:space="preserve">REV-41-1333</t>
  </si>
  <si>
    <t xml:space="preserve">125 Tooth Plastic Gear - 2 Pack</t>
  </si>
  <si>
    <t xml:space="preserve">REV-41-1334</t>
  </si>
  <si>
    <t xml:space="preserve">45 Tooth Plastic Gear - 4 Pack</t>
  </si>
  <si>
    <t xml:space="preserve">REV-41-1335</t>
  </si>
  <si>
    <t xml:space="preserve">60 Tooth Plastic Gear - 4 Pack</t>
  </si>
  <si>
    <t xml:space="preserve">REV-41-1336</t>
  </si>
  <si>
    <t xml:space="preserve">72 Tooth Plastic Gear - 4 Pack</t>
  </si>
  <si>
    <t xml:space="preserve">REV-41-1337</t>
  </si>
  <si>
    <t xml:space="preserve">90 Tooth Plastic Gear - 2 Pack</t>
  </si>
  <si>
    <t xml:space="preserve">REV-41-1338</t>
  </si>
  <si>
    <t xml:space="preserve">10 Tooth #25 Sprocket - 4 Pack</t>
  </si>
  <si>
    <t xml:space="preserve">REV-41-1339</t>
  </si>
  <si>
    <t xml:space="preserve">15 Tooth #25 Sprocket - 4 Pack</t>
  </si>
  <si>
    <t xml:space="preserve">REV-41-1340</t>
  </si>
  <si>
    <t xml:space="preserve">20 Tooth #25 Sprocket - 4 Pack</t>
  </si>
  <si>
    <t xml:space="preserve">REV-41-1343</t>
  </si>
  <si>
    <t xml:space="preserve">40 Tooth #25 Sprocket - 2 Pack</t>
  </si>
  <si>
    <t xml:space="preserve">REV-41-1347</t>
  </si>
  <si>
    <t xml:space="preserve">5mm x 75mm Hex Shaft - 4 Pack</t>
  </si>
  <si>
    <t xml:space="preserve">REV-41-1348</t>
  </si>
  <si>
    <t xml:space="preserve">5mm x 90mm Hex Shaft - 4 Pack</t>
  </si>
  <si>
    <t xml:space="preserve">REV-41-1349</t>
  </si>
  <si>
    <t xml:space="preserve">5mm x 135mm Hex Shaft - 4 Pack</t>
  </si>
  <si>
    <t xml:space="preserve">REV-41-1362</t>
  </si>
  <si>
    <t xml:space="preserve">5mm x 400mm Hex Shaft - 4 Pack</t>
  </si>
  <si>
    <t xml:space="preserve">REV-41-1365</t>
  </si>
  <si>
    <t xml:space="preserve">#25 Roller Chain - 10 ft</t>
  </si>
  <si>
    <t xml:space="preserve">REV-41-1366</t>
  </si>
  <si>
    <t xml:space="preserve">#25 Master Links - 5 Pack</t>
  </si>
  <si>
    <t xml:space="preserve">SOPORTE DE MOVIMIENTO</t>
  </si>
  <si>
    <t xml:space="preserve">REV-41-1316</t>
  </si>
  <si>
    <t xml:space="preserve">15mm Hex Pillow Block - 4 Pack</t>
  </si>
  <si>
    <t xml:space="preserve">REV-41-1317</t>
  </si>
  <si>
    <t xml:space="preserve">15mm Bearing Pillow Block - 8 Pack</t>
  </si>
  <si>
    <t xml:space="preserve">REV-41-1322</t>
  </si>
  <si>
    <t xml:space="preserve">End Cap Bearing - 8 Pack</t>
  </si>
  <si>
    <t xml:space="preserve">REV-41-1326</t>
  </si>
  <si>
    <t xml:space="preserve">Through Bore Bearing - Short - 12 Pack</t>
  </si>
  <si>
    <t xml:space="preserve">REV-41-1328</t>
  </si>
  <si>
    <t xml:space="preserve">Servo Shaft Adapter - 4 Pack</t>
  </si>
  <si>
    <t xml:space="preserve">REV-41-1329</t>
  </si>
  <si>
    <t xml:space="preserve">Through Bore Bearing - Long - 12 Pack</t>
  </si>
  <si>
    <t xml:space="preserve">REV-41-1323</t>
  </si>
  <si>
    <t xml:space="preserve">15mm Spacer - 12 Pack</t>
  </si>
  <si>
    <t xml:space="preserve">REV-41-1324</t>
  </si>
  <si>
    <t xml:space="preserve">3mm Spacer - 16 Pack</t>
  </si>
  <si>
    <t xml:space="preserve">REV-41-1325</t>
  </si>
  <si>
    <t xml:space="preserve">1.5mm Spacers - 28 Pack</t>
  </si>
  <si>
    <t xml:space="preserve">REV-41-1327</t>
  </si>
  <si>
    <t xml:space="preserve">Shaft Collars - 10 Pack</t>
  </si>
  <si>
    <t xml:space="preserve">SISTEMA DE CONTROL Y ENERGÍA</t>
  </si>
  <si>
    <t xml:space="preserve">REV-11-1130</t>
  </si>
  <si>
    <t xml:space="preserve">36" PWM Cable - 4 Pack</t>
  </si>
  <si>
    <t xml:space="preserve">Battery Charger (cargador de batería)</t>
  </si>
  <si>
    <t xml:space="preserve">REV-31-1302</t>
  </si>
  <si>
    <t xml:space="preserve">12V Slim Battery (batería)</t>
  </si>
  <si>
    <t xml:space="preserve">RUEDAS Y TRACCIÓN</t>
  </si>
  <si>
    <t xml:space="preserve">REV-41-1267</t>
  </si>
  <si>
    <t xml:space="preserve">90mm Grip Wheel</t>
  </si>
  <si>
    <t xml:space="preserve">REV-41-1190</t>
  </si>
  <si>
    <t xml:space="preserve">90mm Omni Wheel - 2 Pack</t>
  </si>
  <si>
    <t xml:space="preserve">REV-41-1353</t>
  </si>
  <si>
    <t xml:space="preserve">30mm Traction Wheel - 4 Pack</t>
  </si>
  <si>
    <t xml:space="preserve">REV-41-1354</t>
  </si>
  <si>
    <t xml:space="preserve">90mm Traction Wheel - 2 Pack</t>
  </si>
  <si>
    <t xml:space="preserve">ACTUADORES</t>
  </si>
  <si>
    <t xml:space="preserve">REV-31-1108</t>
  </si>
  <si>
    <t xml:space="preserve">SRS Programmer</t>
  </si>
  <si>
    <t xml:space="preserve">REV-41-1097</t>
  </si>
  <si>
    <t xml:space="preserve">Smart Robot Servo</t>
  </si>
  <si>
    <t xml:space="preserve">REV-41-1300</t>
  </si>
  <si>
    <t xml:space="preserve">Core Hex Motor</t>
  </si>
  <si>
    <t xml:space="preserve">UltraPlanetary Gearbox Kit &amp; HD Hex Motor</t>
  </si>
  <si>
    <t xml:space="preserve">EMPAQUE Y DOCUMENTACIÓN</t>
  </si>
  <si>
    <t xml:space="preserve">N/A</t>
  </si>
  <si>
    <t xml:space="preserve">FTC Starter Kit Guide (manual)</t>
  </si>
  <si>
    <t xml:space="preserve">REV-41-1215</t>
  </si>
  <si>
    <t xml:space="preserve">Storage Tote - Orange (caja naranja)</t>
  </si>
  <si>
    <t xml:space="preserve">CONTENIDO DE FÁBRICA — goBILDA Strafer Chassis Kit (mecanum)</t>
  </si>
  <si>
    <t xml:space="preserve">Referencia basada en Strafer Chassis V5 (SKU 3209-0001-0005). CONFIRMAR versión exacta: hay variantes V5 (96mm), 3209-0001-0006 (96mm) y 3209-0001-0007 (104mm GripForce) con tornillería distinta. Cantidades por kit.</t>
  </si>
  <si>
    <t xml:space="preserve">Cant. esperada (1 kit)</t>
  </si>
  <si>
    <t xml:space="preserve">1120-0010-0216</t>
  </si>
  <si>
    <t xml:space="preserve">U-Channel de 10 orificios (216mm)</t>
  </si>
  <si>
    <t xml:space="preserve">1120-0017-0432</t>
  </si>
  <si>
    <t xml:space="preserve">U-Channel de 17 orificios (432mm)</t>
  </si>
  <si>
    <t xml:space="preserve">1201-0043-0002</t>
  </si>
  <si>
    <t xml:space="preserve">Quad Block Pattern Mount</t>
  </si>
  <si>
    <t xml:space="preserve">TRANSMISIÓN</t>
  </si>
  <si>
    <t xml:space="preserve">2110-0608-0001</t>
  </si>
  <si>
    <t xml:space="preserve">Hub-Shaft (flecha de maza)</t>
  </si>
  <si>
    <t xml:space="preserve">2315-4008-0030</t>
  </si>
  <si>
    <t xml:space="preserve">Miter Gear (engrane cónico)</t>
  </si>
  <si>
    <t xml:space="preserve">1611-0514-0006</t>
  </si>
  <si>
    <t xml:space="preserve">Balero bridado 6mm ID</t>
  </si>
  <si>
    <t xml:space="preserve">1611-0514-0008</t>
  </si>
  <si>
    <t xml:space="preserve">Balero bridado 8mm ID</t>
  </si>
  <si>
    <t xml:space="preserve">1522-0010-0120</t>
  </si>
  <si>
    <t xml:space="preserve">Espaciador 8mm ID, 12mm largo</t>
  </si>
  <si>
    <t xml:space="preserve">2807-0811-0500</t>
  </si>
  <si>
    <t xml:space="preserve">Shim 8mm ID</t>
  </si>
  <si>
    <t xml:space="preserve">RUEDAS</t>
  </si>
  <si>
    <t xml:space="preserve">3213-3606-0001</t>
  </si>
  <si>
    <t xml:space="preserve">Rueda Mecanum 96mm (juego de 4)</t>
  </si>
  <si>
    <t xml:space="preserve">MOTORES Y CABLEADO</t>
  </si>
  <si>
    <t xml:space="preserve">5203-2402-0019</t>
  </si>
  <si>
    <t xml:space="preserve">Yellow Jacket Planetary Gear Motor 312 RPM</t>
  </si>
  <si>
    <t xml:space="preserve">3801-0709-0600</t>
  </si>
  <si>
    <t xml:space="preserve">Encoder Cable (cable de encoder)</t>
  </si>
  <si>
    <t xml:space="preserve">3801-0613-0100</t>
  </si>
  <si>
    <t xml:space="preserve">Motor Wire Adaptor / 3.5mm Bullet a JST-VH</t>
  </si>
  <si>
    <t xml:space="preserve">TORNILLERÍA Y HERRAMIENTA</t>
  </si>
  <si>
    <t xml:space="preserve">2800-0004-0008</t>
  </si>
  <si>
    <t xml:space="preserve">Tornillo socket 8mm</t>
  </si>
  <si>
    <t xml:space="preserve">2800-0004-0011</t>
  </si>
  <si>
    <t xml:space="preserve">Tornillo socket 11mm</t>
  </si>
  <si>
    <t xml:space="preserve">2801-0004-0008</t>
  </si>
  <si>
    <t xml:space="preserve">Rondana 4mm ID</t>
  </si>
  <si>
    <t xml:space="preserve">5027104001</t>
  </si>
  <si>
    <t xml:space="preserve">Llave L hexagonal 3mm</t>
  </si>
  <si>
    <t xml:space="preserve">CÓMO USAR LAS LISTAS DE CONTENIDO DE FÁBRICA</t>
  </si>
  <si>
    <t xml:space="preserve">Para qué sirven</t>
  </si>
  <si>
    <t xml:space="preserve">Los kits estaban inventariados como una sola línea ('Kit REV', 'Kit goBILDA'), sin desglose. Por eso no se podía saber qué faltaba. Estas listas son el contenido oficial de fábrica: sirven de patrón contra el cual comparar lo que sí está en el laboratorio.</t>
  </si>
  <si>
    <t xml:space="preserve">Cómo llenarlas</t>
  </si>
  <si>
    <t xml:space="preserve">Toma un tipo de pieza a la vez (por ejemplo, brackets de 90 grados) y cuéntalos en todo el material disponible.</t>
  </si>
  <si>
    <t xml:space="preserve">Anota el número en la columna 'Cant. encontrada'. La columna 'Faltante' se calcula sola.</t>
  </si>
  <si>
    <t xml:space="preserve">Ojo con las unidades: las cantidades del BOM están en PAQUETES, no en piezas. Un '4' en 15mm Plastic 90 Degree Bracket - 8 Pack significa 4 paquetes, es decir 32 piezas.</t>
  </si>
  <si>
    <t xml:space="preserve">Si un renglón no aplica porque el material se usó legítimamente en un robot armado, anótalo en Notas en lugar de marcarlo como faltante.</t>
  </si>
  <si>
    <t xml:space="preserve">Hallazgo importante sobre los Driver Hub</t>
  </si>
  <si>
    <t xml:space="preserve">El FTC Starter Kit V3 NO incluye Control Hub ni Driver Hub. Esos equipos se compran por separado. Por lo tanto, los 3 Driver Hub y el Expansion Hub faltantes NO formaban parte de estos kits: fueron adquisiciones independientes y deben reclamarse como equipos individuales, no como piezas de kit.</t>
  </si>
  <si>
    <t xml:space="preserve">Lo que sí incluye el kit y conviene buscar</t>
  </si>
  <si>
    <t xml:space="preserve">El kit V3 sí trae batería 12V (REV-31-1302), cargador (REV-31-1299), 4 servos Smart Robot Servo, 2 Core Hex Motor y 2 UltraPlanetary Gearbox con HD Hex Motor. Son los componentes de mayor valor dentro del kit y los primeros que conviene verificar.</t>
  </si>
  <si>
    <t xml:space="preserve">Sobre el kit goBILDA</t>
  </si>
  <si>
    <t xml:space="preserve">Falta confirmar la versión exacta del Strafer Chassis. La lista cargada corresponde al V5 (96mm). Si el chasis es la versión de 104mm, cambian los números de parte de tornillería y espaciadores, pero no los componentes principales: 4 ruedas mecanum, 4 motores Yellow Jacket, 4 hub-shafts, 8 miter gears y 4 U-Channels.</t>
  </si>
  <si>
    <t xml:space="preserve">Faltantes ya identificados en goBILDA</t>
  </si>
  <si>
    <t xml:space="preserve">Chasis completo, ruedas mecanum y cablería. Los motores Yellow Jacket 5203 son el componente más caro del kit: verificar si están, porque no se han reportado.</t>
  </si>
  <si>
    <t xml:space="preserve">CORRECCIÓN IMPORTANTE</t>
  </si>
  <si>
    <t xml:space="preserve">Sí existe un kit con ambos hubs</t>
  </si>
  <si>
    <t xml:space="preserve">El Control &amp; Power Bundle (REV-35-1906) SÍ incluye Control Hub y Driver Hub juntos, además de batería 12V, cargador, gamepad PS4 y switch cable. Es el complemento obligado del Starter Kit, que solo trae la parte mecánica. Las 3 cajas vacías de Driver Hub indican que se compraron aproximadamente 3 de estos bundles; por lo tanto también deberían existir 3 Control Hub, 3 baterías, 3 cargadores, 3 gamepads y 3 switch cable. Revisar facturas para confirmar la cantidad.</t>
  </si>
  <si>
    <t xml:space="preserve">CONTENIDO DE FÁBRICA — REV Control &amp; Power Bundle (REV-35-1906)</t>
  </si>
  <si>
    <t xml:space="preserve">ESTE es el kit que trae Control Hub Y Driver Hub. El Starter Kit solo trae la parte mecánica. Se detectaron 3 CAJAS VACÍAS DE DRIVER HUB, lo que sugiere que se adquirieron 3 bundles. Ajustar la columna 'N.º de bundles' si se confirma otra cantidad con las facturas.</t>
  </si>
  <si>
    <t xml:space="preserve">N.º de bundles →</t>
  </si>
  <si>
    <t xml:space="preserve">SKU</t>
  </si>
  <si>
    <t xml:space="preserve">Producto</t>
  </si>
  <si>
    <t xml:space="preserve">Cant. por bundle</t>
  </si>
  <si>
    <t xml:space="preserve">Cant. esperada</t>
  </si>
  <si>
    <t xml:space="preserve">REV-31-1595</t>
  </si>
  <si>
    <t xml:space="preserve">ENCONTRADO 1. Es el que está en uso (S/N 31159523160015142). Hay otro en caja por probar: si sirve serían 2</t>
  </si>
  <si>
    <t xml:space="preserve">REV-31-1596</t>
  </si>
  <si>
    <t xml:space="preserve">Driver Hub</t>
  </si>
  <si>
    <t xml:space="preserve">FALTANTE TOTAL: 3 cajas vacías, ningún Driver Hub en el laboratorio</t>
  </si>
  <si>
    <t xml:space="preserve">Batería 12V Slim</t>
  </si>
  <si>
    <t xml:space="preserve">Localizadas 2, ambas EN MAL ESTADO / no funcionales. Registrar como daño, no como existencia útil</t>
  </si>
  <si>
    <t xml:space="preserve">Cargador de batería</t>
  </si>
  <si>
    <t xml:space="preserve">Localizado 1 cargador REV-31-1299 (naranja, en contenedor). CONFIRMAR si hay más</t>
  </si>
  <si>
    <t xml:space="preserve">REV-31-2983</t>
  </si>
  <si>
    <t xml:space="preserve">Gamepad USB compatible PS4</t>
  </si>
  <si>
    <t xml:space="preserve">NO APLICA</t>
  </si>
  <si>
    <t xml:space="preserve">NO SE CONSIDERA FALTANTE. El equipo no se entregó con gamepads REV: Fundación Azteca surtía los kits con controles Logitech en lugar del gamepad REV PS4. Los controles Logitech localizados corresponden a esta entrega y son legales en FTC.</t>
  </si>
  <si>
    <t xml:space="preserve">REV-31-1387</t>
  </si>
  <si>
    <t xml:space="preserve">Switch Cable and Bracket</t>
  </si>
  <si>
    <t xml:space="preserve">FALTANTE: no hay cablería. El switch suelto localizado debe verificarse por separado</t>
  </si>
  <si>
    <t xml:space="preserve">RESUMEN DE FALTANTE (base 3 bundles)</t>
  </si>
  <si>
    <t xml:space="preserve">Faltan 2 (de 3 esperados)</t>
  </si>
  <si>
    <t xml:space="preserve">Faltan 3 (de 3 esperados) — faltante total</t>
  </si>
  <si>
    <t xml:space="preserve">Faltan 1 en existencia; las 2 localizadas están en mal estado</t>
  </si>
  <si>
    <t xml:space="preserve">Gamepad REV PS4</t>
  </si>
  <si>
    <t xml:space="preserve">No aplica. Sustituido de origen por controles Logitech (entrega Azteca)</t>
  </si>
  <si>
    <t xml:space="preserve">Faltan 3 (de 3 esperados)</t>
  </si>
  <si>
    <t xml:space="preserve">Cablería en general</t>
  </si>
  <si>
    <t xml:space="preserve">Sin existencia. Verificar contra FTC Cable Bundle si fue adquirido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</si>
</sst>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3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FC7CE"/>
        <bgColor rgb="FFFCE4D6"/>
      </patternFill>
    </fill>
    <fill>
      <patternFill patternType="solid">
        <fgColor rgb="FFD9D9D9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D9E1F2"/>
      <rgbColor rgb="FFFCE4D6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100"/>
  <sheetViews>
    <sheetView showFormulas="false" showGridLines="fals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G40" activeCellId="0" sqref="G40"/>
    </sheetView>
  </sheetViews>
  <sheetFormatPr defaultColWidth="12.6015625" defaultRowHeight="13.5" zeroHeight="false" outlineLevelRow="0" outlineLevelCol="0"/>
  <cols>
    <col collapsed="false" customWidth="true" hidden="false" outlineLevel="0" max="1" min="1" style="0" width="2.6"/>
    <col collapsed="false" customWidth="true" hidden="false" outlineLevel="0" max="2" min="2" style="0" width="29.7"/>
    <col collapsed="false" customWidth="true" hidden="false" outlineLevel="0" max="3" min="3" style="0" width="35"/>
    <col collapsed="false" customWidth="true" hidden="false" outlineLevel="0" max="4" min="4" style="0" width="40.2"/>
    <col collapsed="false" customWidth="true" hidden="false" outlineLevel="0" max="11" min="5" style="0" width="7.6"/>
  </cols>
  <sheetData>
    <row r="1" customFormat="false" ht="14.25" hidden="false" customHeight="true" outlineLevel="0" collapsed="false">
      <c r="A1" s="1" t="s">
        <v>0</v>
      </c>
      <c r="B1" s="1"/>
      <c r="C1" s="1"/>
      <c r="D1" s="1"/>
    </row>
    <row r="2" customFormat="false" ht="14.25" hidden="false" customHeight="true" outlineLevel="0" collapsed="false">
      <c r="A2" s="2" t="s">
        <v>1</v>
      </c>
      <c r="B2" s="2"/>
      <c r="C2" s="2"/>
      <c r="D2" s="2"/>
    </row>
    <row r="3" customFormat="false" ht="14.25" hidden="false" customHeight="true" outlineLevel="0" collapsed="false">
      <c r="A3" s="2" t="s">
        <v>2</v>
      </c>
      <c r="B3" s="2"/>
      <c r="C3" s="2"/>
      <c r="D3" s="2"/>
    </row>
    <row r="4" customFormat="false" ht="14.25" hidden="false" customHeight="true" outlineLevel="0" collapsed="false"/>
    <row r="5" customFormat="false" ht="14.25" hidden="false" customHeight="true" outlineLevel="0" collapsed="false">
      <c r="A5" s="3" t="s">
        <v>3</v>
      </c>
      <c r="B5" s="3"/>
      <c r="C5" s="3"/>
      <c r="D5" s="3"/>
    </row>
    <row r="6" customFormat="false" ht="45" hidden="false" customHeight="true" outlineLevel="0" collapsed="false">
      <c r="A6" s="4" t="s">
        <v>4</v>
      </c>
      <c r="B6" s="4"/>
      <c r="C6" s="4"/>
      <c r="D6" s="4"/>
    </row>
    <row r="7" customFormat="false" ht="14.25" hidden="false" customHeight="true" outlineLevel="0" collapsed="false"/>
    <row r="8" customFormat="false" ht="14.25" hidden="false" customHeight="true" outlineLevel="0" collapsed="false">
      <c r="A8" s="5" t="s">
        <v>5</v>
      </c>
      <c r="B8" s="5"/>
      <c r="C8" s="5"/>
      <c r="D8" s="5"/>
    </row>
    <row r="9" customFormat="false" ht="14.25" hidden="false" customHeight="true" outlineLevel="0" collapsed="false">
      <c r="A9" s="6" t="s">
        <v>6</v>
      </c>
      <c r="B9" s="6" t="s">
        <v>7</v>
      </c>
      <c r="C9" s="6" t="s">
        <v>8</v>
      </c>
      <c r="D9" s="6" t="s">
        <v>9</v>
      </c>
    </row>
    <row r="10" customFormat="false" ht="14.25" hidden="false" customHeight="true" outlineLevel="0" collapsed="false">
      <c r="A10" s="7" t="n">
        <v>1</v>
      </c>
      <c r="B10" s="8" t="s">
        <v>10</v>
      </c>
      <c r="C10" s="7" t="n">
        <v>5</v>
      </c>
      <c r="D10" s="7" t="n">
        <v>3</v>
      </c>
    </row>
    <row r="11" customFormat="false" ht="14.25" hidden="false" customHeight="true" outlineLevel="0" collapsed="false">
      <c r="A11" s="9" t="n">
        <v>2</v>
      </c>
      <c r="B11" s="10" t="s">
        <v>11</v>
      </c>
      <c r="C11" s="9" t="n">
        <v>33</v>
      </c>
      <c r="D11" s="9" t="n">
        <v>12</v>
      </c>
    </row>
    <row r="12" customFormat="false" ht="14.25" hidden="false" customHeight="true" outlineLevel="0" collapsed="false">
      <c r="A12" s="11" t="n">
        <v>3</v>
      </c>
      <c r="B12" s="12" t="s">
        <v>12</v>
      </c>
      <c r="C12" s="11" t="n">
        <v>28</v>
      </c>
      <c r="D12" s="11" t="n">
        <v>8</v>
      </c>
    </row>
    <row r="13" customFormat="false" ht="14.25" hidden="false" customHeight="true" outlineLevel="0" collapsed="false">
      <c r="A13" s="13" t="n">
        <v>4</v>
      </c>
      <c r="B13" s="14" t="s">
        <v>13</v>
      </c>
      <c r="C13" s="13" t="n">
        <v>21</v>
      </c>
      <c r="D13" s="13" t="n">
        <v>5</v>
      </c>
    </row>
    <row r="14" customFormat="false" ht="14.25" hidden="false" customHeight="true" outlineLevel="0" collapsed="false">
      <c r="A14" s="15" t="n">
        <v>5</v>
      </c>
      <c r="B14" s="16" t="s">
        <v>14</v>
      </c>
      <c r="C14" s="15" t="n">
        <v>36</v>
      </c>
      <c r="D14" s="15" t="n">
        <v>9</v>
      </c>
    </row>
    <row r="15" customFormat="false" ht="14.25" hidden="false" customHeight="true" outlineLevel="0" collapsed="false">
      <c r="A15" s="17" t="n">
        <v>6</v>
      </c>
      <c r="B15" s="18" t="s">
        <v>15</v>
      </c>
      <c r="C15" s="17" t="n">
        <v>17</v>
      </c>
      <c r="D15" s="17" t="n">
        <v>5</v>
      </c>
    </row>
    <row r="16" customFormat="false" ht="14.25" hidden="false" customHeight="true" outlineLevel="0" collapsed="false">
      <c r="A16" s="19" t="n">
        <v>7</v>
      </c>
      <c r="B16" s="20" t="s">
        <v>16</v>
      </c>
      <c r="C16" s="19" t="n">
        <v>3</v>
      </c>
      <c r="D16" s="19" t="n">
        <v>3</v>
      </c>
    </row>
    <row r="17" customFormat="false" ht="14.25" hidden="false" customHeight="true" outlineLevel="0" collapsed="false">
      <c r="A17" s="21"/>
      <c r="B17" s="22" t="s">
        <v>17</v>
      </c>
      <c r="C17" s="22" t="n">
        <v>143</v>
      </c>
      <c r="D17" s="22" t="n">
        <v>45</v>
      </c>
    </row>
    <row r="18" customFormat="false" ht="14.25" hidden="false" customHeight="true" outlineLevel="0" collapsed="false"/>
    <row r="19" customFormat="false" ht="14.25" hidden="false" customHeight="true" outlineLevel="0" collapsed="false">
      <c r="A19" s="5" t="s">
        <v>18</v>
      </c>
      <c r="B19" s="5"/>
      <c r="C19" s="5"/>
      <c r="D19" s="5"/>
    </row>
    <row r="20" customFormat="false" ht="30" hidden="false" customHeight="true" outlineLevel="0" collapsed="false">
      <c r="A20" s="21"/>
      <c r="B20" s="23" t="s">
        <v>10</v>
      </c>
      <c r="C20" s="24" t="s">
        <v>19</v>
      </c>
      <c r="D20" s="24"/>
    </row>
    <row r="21" customFormat="false" ht="30" hidden="false" customHeight="true" outlineLevel="0" collapsed="false">
      <c r="A21" s="21"/>
      <c r="B21" s="25" t="s">
        <v>11</v>
      </c>
      <c r="C21" s="24" t="s">
        <v>20</v>
      </c>
      <c r="D21" s="24"/>
    </row>
    <row r="22" customFormat="false" ht="30" hidden="false" customHeight="true" outlineLevel="0" collapsed="false">
      <c r="A22" s="21"/>
      <c r="B22" s="26" t="s">
        <v>12</v>
      </c>
      <c r="C22" s="24" t="s">
        <v>21</v>
      </c>
      <c r="D22" s="24"/>
    </row>
    <row r="23" customFormat="false" ht="30" hidden="false" customHeight="true" outlineLevel="0" collapsed="false">
      <c r="A23" s="21"/>
      <c r="B23" s="27" t="s">
        <v>13</v>
      </c>
      <c r="C23" s="24" t="s">
        <v>22</v>
      </c>
      <c r="D23" s="24"/>
    </row>
    <row r="24" customFormat="false" ht="30" hidden="false" customHeight="true" outlineLevel="0" collapsed="false">
      <c r="A24" s="21"/>
      <c r="B24" s="28" t="s">
        <v>14</v>
      </c>
      <c r="C24" s="24" t="s">
        <v>23</v>
      </c>
      <c r="D24" s="24"/>
    </row>
    <row r="25" customFormat="false" ht="30" hidden="false" customHeight="true" outlineLevel="0" collapsed="false">
      <c r="A25" s="21"/>
      <c r="B25" s="29" t="s">
        <v>15</v>
      </c>
      <c r="C25" s="24" t="s">
        <v>24</v>
      </c>
      <c r="D25" s="24"/>
    </row>
    <row r="26" customFormat="false" ht="30" hidden="false" customHeight="true" outlineLevel="0" collapsed="false">
      <c r="A26" s="21"/>
      <c r="B26" s="30" t="s">
        <v>16</v>
      </c>
      <c r="C26" s="24" t="s">
        <v>25</v>
      </c>
      <c r="D26" s="24"/>
    </row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30" hidden="false" customHeight="true" outlineLevel="0" collapsed="false">
      <c r="A29" s="3" t="s">
        <v>26</v>
      </c>
      <c r="B29" s="3"/>
      <c r="C29" s="3"/>
      <c r="D29" s="3"/>
    </row>
    <row r="30" customFormat="false" ht="14.25" hidden="false" customHeight="true" outlineLevel="0" collapsed="false">
      <c r="A30" s="31" t="s">
        <v>27</v>
      </c>
      <c r="B30" s="31"/>
      <c r="C30" s="31"/>
      <c r="D30" s="31"/>
    </row>
    <row r="31" customFormat="false" ht="14.25" hidden="false" customHeight="true" outlineLevel="0" collapsed="false">
      <c r="A31" s="32" t="n">
        <v>11</v>
      </c>
      <c r="B31" s="33" t="s">
        <v>28</v>
      </c>
      <c r="C31" s="33"/>
      <c r="D31" s="33"/>
    </row>
    <row r="32" customFormat="false" ht="14.25" hidden="false" customHeight="true" outlineLevel="0" collapsed="false">
      <c r="A32" s="32" t="n">
        <v>16</v>
      </c>
      <c r="B32" s="33" t="s">
        <v>29</v>
      </c>
      <c r="C32" s="33"/>
      <c r="D32" s="33"/>
    </row>
    <row r="33" customFormat="false" ht="14.25" hidden="false" customHeight="true" outlineLevel="0" collapsed="false">
      <c r="A33" s="32" t="n">
        <v>129</v>
      </c>
      <c r="B33" s="33" t="s">
        <v>30</v>
      </c>
      <c r="C33" s="33"/>
      <c r="D33" s="33"/>
    </row>
    <row r="34" customFormat="false" ht="14.25" hidden="false" customHeight="true" outlineLevel="0" collapsed="false"/>
    <row r="35" customFormat="false" ht="14.25" hidden="false" customHeight="true" outlineLevel="0" collapsed="false">
      <c r="A35" s="5" t="s">
        <v>31</v>
      </c>
      <c r="B35" s="5"/>
      <c r="C35" s="5"/>
      <c r="D35" s="5"/>
    </row>
    <row r="36" customFormat="false" ht="14.25" hidden="false" customHeight="true" outlineLevel="0" collapsed="false">
      <c r="A36" s="6" t="s">
        <v>6</v>
      </c>
      <c r="B36" s="6" t="s">
        <v>32</v>
      </c>
      <c r="C36" s="6" t="s">
        <v>33</v>
      </c>
      <c r="D36" s="6" t="s">
        <v>34</v>
      </c>
    </row>
    <row r="37" customFormat="false" ht="14.25" hidden="false" customHeight="true" outlineLevel="0" collapsed="false">
      <c r="A37" s="34" t="n">
        <v>1</v>
      </c>
      <c r="B37" s="35" t="s">
        <v>35</v>
      </c>
      <c r="C37" s="34" t="n">
        <v>16</v>
      </c>
      <c r="D37" s="35" t="s">
        <v>36</v>
      </c>
    </row>
    <row r="38" customFormat="false" ht="30" hidden="false" customHeight="true" outlineLevel="0" collapsed="false">
      <c r="A38" s="34" t="n">
        <v>2</v>
      </c>
      <c r="B38" s="35" t="s">
        <v>37</v>
      </c>
      <c r="C38" s="34" t="n">
        <v>15</v>
      </c>
      <c r="D38" s="35" t="s">
        <v>38</v>
      </c>
    </row>
    <row r="39" customFormat="false" ht="15" hidden="false" customHeight="true" outlineLevel="0" collapsed="false">
      <c r="A39" s="34" t="n">
        <v>3</v>
      </c>
      <c r="B39" s="35" t="s">
        <v>39</v>
      </c>
      <c r="C39" s="34" t="n">
        <v>6</v>
      </c>
      <c r="D39" s="35" t="s">
        <v>40</v>
      </c>
    </row>
    <row r="40" customFormat="false" ht="15" hidden="false" customHeight="true" outlineLevel="0" collapsed="false">
      <c r="A40" s="34" t="n">
        <v>4</v>
      </c>
      <c r="B40" s="35" t="s">
        <v>41</v>
      </c>
      <c r="C40" s="34" t="n">
        <v>5</v>
      </c>
      <c r="D40" s="35" t="s">
        <v>42</v>
      </c>
    </row>
    <row r="41" customFormat="false" ht="15" hidden="false" customHeight="true" outlineLevel="0" collapsed="false">
      <c r="A41" s="34" t="n">
        <v>5</v>
      </c>
      <c r="B41" s="35" t="s">
        <v>43</v>
      </c>
      <c r="C41" s="34" t="n">
        <v>5</v>
      </c>
      <c r="D41" s="35" t="s">
        <v>44</v>
      </c>
    </row>
    <row r="42" customFormat="false" ht="14.25" hidden="false" customHeight="true" outlineLevel="0" collapsed="false">
      <c r="A42" s="34" t="n">
        <v>6</v>
      </c>
      <c r="B42" s="35" t="s">
        <v>45</v>
      </c>
      <c r="C42" s="34" t="n">
        <v>4</v>
      </c>
      <c r="D42" s="35" t="s">
        <v>46</v>
      </c>
    </row>
    <row r="43" customFormat="false" ht="14.25" hidden="false" customHeight="true" outlineLevel="0" collapsed="false">
      <c r="A43" s="34" t="n">
        <v>7</v>
      </c>
      <c r="B43" s="35" t="s">
        <v>47</v>
      </c>
      <c r="C43" s="34" t="n">
        <v>3</v>
      </c>
      <c r="D43" s="35" t="s">
        <v>16</v>
      </c>
    </row>
    <row r="44" customFormat="false" ht="14.25" hidden="false" customHeight="true" outlineLevel="0" collapsed="false">
      <c r="A44" s="34" t="n">
        <v>8</v>
      </c>
      <c r="B44" s="35" t="s">
        <v>48</v>
      </c>
      <c r="C44" s="34" t="n">
        <v>1</v>
      </c>
      <c r="D44" s="35" t="s">
        <v>15</v>
      </c>
    </row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20">
    <mergeCell ref="A1:D1"/>
    <mergeCell ref="A2:D2"/>
    <mergeCell ref="A3:D3"/>
    <mergeCell ref="A5:D5"/>
    <mergeCell ref="A6:D6"/>
    <mergeCell ref="A8:D8"/>
    <mergeCell ref="A19:D19"/>
    <mergeCell ref="C20:D20"/>
    <mergeCell ref="C21:D21"/>
    <mergeCell ref="C22:D22"/>
    <mergeCell ref="C23:D23"/>
    <mergeCell ref="C24:D24"/>
    <mergeCell ref="C25:D25"/>
    <mergeCell ref="C26:D26"/>
    <mergeCell ref="A29:D29"/>
    <mergeCell ref="A30:D30"/>
    <mergeCell ref="B31:D31"/>
    <mergeCell ref="B32:D32"/>
    <mergeCell ref="B33:D3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56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36" t="s">
        <v>49</v>
      </c>
    </row>
    <row r="2" customFormat="false" ht="15" hidden="false" customHeight="false" outlineLevel="0" collapsed="false">
      <c r="A2" s="37" t="s">
        <v>50</v>
      </c>
    </row>
    <row r="4" customFormat="false" ht="31.5" hidden="false" customHeight="true" outlineLevel="0" collapsed="false">
      <c r="A4" s="38" t="s">
        <v>51</v>
      </c>
      <c r="B4" s="38" t="s">
        <v>52</v>
      </c>
      <c r="C4" s="38" t="s">
        <v>53</v>
      </c>
      <c r="D4" s="38" t="s">
        <v>54</v>
      </c>
      <c r="E4" s="38" t="s">
        <v>55</v>
      </c>
      <c r="F4" s="38" t="s">
        <v>56</v>
      </c>
      <c r="G4" s="38" t="s">
        <v>57</v>
      </c>
      <c r="H4" s="38" t="s">
        <v>58</v>
      </c>
      <c r="I4" s="38" t="s">
        <v>59</v>
      </c>
      <c r="J4" s="38" t="s">
        <v>60</v>
      </c>
    </row>
    <row r="5" customFormat="false" ht="15" hidden="false" customHeight="false" outlineLevel="0" collapsed="false">
      <c r="A5" s="39" t="s">
        <v>61</v>
      </c>
      <c r="B5" s="40"/>
      <c r="C5" s="40"/>
      <c r="D5" s="40"/>
      <c r="E5" s="40"/>
      <c r="F5" s="40"/>
      <c r="G5" s="40"/>
      <c r="H5" s="40"/>
      <c r="I5" s="40"/>
      <c r="J5" s="40"/>
    </row>
    <row r="6" customFormat="false" ht="23.85" hidden="false" customHeight="false" outlineLevel="0" collapsed="false">
      <c r="A6" s="41" t="n">
        <v>1</v>
      </c>
      <c r="B6" s="42" t="s">
        <v>62</v>
      </c>
      <c r="C6" s="42" t="s">
        <v>63</v>
      </c>
      <c r="D6" s="41" t="s">
        <v>64</v>
      </c>
      <c r="E6" s="42" t="s">
        <v>65</v>
      </c>
      <c r="F6" s="43" t="s">
        <v>63</v>
      </c>
      <c r="G6" s="43"/>
      <c r="H6" s="42" t="s">
        <v>66</v>
      </c>
      <c r="I6" s="42" t="s">
        <v>67</v>
      </c>
      <c r="J6" s="43"/>
    </row>
    <row r="7" customFormat="false" ht="23.85" hidden="false" customHeight="false" outlineLevel="0" collapsed="false">
      <c r="A7" s="44" t="n">
        <v>2</v>
      </c>
      <c r="B7" s="45" t="s">
        <v>68</v>
      </c>
      <c r="C7" s="45" t="s">
        <v>63</v>
      </c>
      <c r="D7" s="44" t="s">
        <v>69</v>
      </c>
      <c r="E7" s="45" t="s">
        <v>70</v>
      </c>
      <c r="F7" s="46" t="s">
        <v>63</v>
      </c>
      <c r="G7" s="46"/>
      <c r="H7" s="45" t="s">
        <v>71</v>
      </c>
      <c r="I7" s="45" t="s">
        <v>37</v>
      </c>
      <c r="J7" s="46"/>
    </row>
    <row r="8" customFormat="false" ht="15" hidden="false" customHeight="false" outlineLevel="0" collapsed="false">
      <c r="A8" s="47" t="n">
        <v>3</v>
      </c>
      <c r="B8" s="48" t="s">
        <v>72</v>
      </c>
      <c r="C8" s="48" t="s">
        <v>63</v>
      </c>
      <c r="D8" s="47" t="s">
        <v>69</v>
      </c>
      <c r="E8" s="48" t="s">
        <v>70</v>
      </c>
      <c r="F8" s="49" t="s">
        <v>63</v>
      </c>
      <c r="G8" s="49"/>
      <c r="H8" s="48" t="s">
        <v>73</v>
      </c>
      <c r="I8" s="48" t="s">
        <v>41</v>
      </c>
      <c r="J8" s="49"/>
    </row>
    <row r="9" customFormat="false" ht="23.85" hidden="false" customHeight="false" outlineLevel="0" collapsed="false">
      <c r="A9" s="41" t="n">
        <v>4</v>
      </c>
      <c r="B9" s="42" t="s">
        <v>74</v>
      </c>
      <c r="C9" s="42" t="s">
        <v>63</v>
      </c>
      <c r="D9" s="41" t="s">
        <v>75</v>
      </c>
      <c r="E9" s="42" t="s">
        <v>76</v>
      </c>
      <c r="F9" s="43" t="s">
        <v>63</v>
      </c>
      <c r="G9" s="43"/>
      <c r="H9" s="42" t="s">
        <v>77</v>
      </c>
      <c r="I9" s="42" t="s">
        <v>43</v>
      </c>
      <c r="J9" s="43"/>
    </row>
    <row r="10" customFormat="false" ht="15" hidden="false" customHeight="false" outlineLevel="0" collapsed="false">
      <c r="A10" s="47" t="n">
        <v>5</v>
      </c>
      <c r="B10" s="48" t="s">
        <v>78</v>
      </c>
      <c r="C10" s="48" t="s">
        <v>63</v>
      </c>
      <c r="D10" s="47" t="s">
        <v>79</v>
      </c>
      <c r="E10" s="48" t="s">
        <v>80</v>
      </c>
      <c r="F10" s="49" t="s">
        <v>63</v>
      </c>
      <c r="G10" s="49"/>
      <c r="H10" s="48" t="s">
        <v>81</v>
      </c>
      <c r="I10" s="48" t="s">
        <v>35</v>
      </c>
      <c r="J10" s="49"/>
    </row>
    <row r="11" customFormat="false" ht="15" hidden="false" customHeight="false" outlineLevel="0" collapsed="false">
      <c r="A11" s="44" t="n">
        <v>6</v>
      </c>
      <c r="B11" s="45" t="s">
        <v>82</v>
      </c>
      <c r="C11" s="45" t="s">
        <v>10</v>
      </c>
      <c r="D11" s="44" t="s">
        <v>83</v>
      </c>
      <c r="E11" s="45" t="s">
        <v>84</v>
      </c>
      <c r="F11" s="46" t="s">
        <v>63</v>
      </c>
      <c r="G11" s="46"/>
      <c r="H11" s="45" t="s">
        <v>85</v>
      </c>
      <c r="I11" s="45" t="s">
        <v>86</v>
      </c>
      <c r="J11" s="46"/>
    </row>
    <row r="12" customFormat="false" ht="15" hidden="false" customHeight="false" outlineLevel="0" collapsed="false">
      <c r="A12" s="39" t="s">
        <v>87</v>
      </c>
      <c r="B12" s="40"/>
      <c r="C12" s="40"/>
      <c r="D12" s="40"/>
      <c r="E12" s="40"/>
      <c r="F12" s="40"/>
      <c r="G12" s="40"/>
      <c r="H12" s="40"/>
      <c r="I12" s="40"/>
      <c r="J12" s="40"/>
    </row>
    <row r="13" customFormat="false" ht="23.85" hidden="false" customHeight="false" outlineLevel="0" collapsed="false">
      <c r="A13" s="41" t="n">
        <v>7</v>
      </c>
      <c r="B13" s="42" t="s">
        <v>88</v>
      </c>
      <c r="C13" s="42" t="s">
        <v>89</v>
      </c>
      <c r="D13" s="41" t="s">
        <v>90</v>
      </c>
      <c r="E13" s="42" t="s">
        <v>91</v>
      </c>
      <c r="F13" s="43" t="s">
        <v>89</v>
      </c>
      <c r="G13" s="43"/>
      <c r="H13" s="42" t="s">
        <v>92</v>
      </c>
      <c r="I13" s="42" t="s">
        <v>35</v>
      </c>
      <c r="J13" s="43"/>
    </row>
    <row r="14" customFormat="false" ht="23.85" hidden="false" customHeight="false" outlineLevel="0" collapsed="false">
      <c r="A14" s="41" t="n">
        <v>8</v>
      </c>
      <c r="B14" s="42" t="s">
        <v>93</v>
      </c>
      <c r="C14" s="42" t="s">
        <v>89</v>
      </c>
      <c r="D14" s="41" t="s">
        <v>94</v>
      </c>
      <c r="E14" s="42" t="s">
        <v>95</v>
      </c>
      <c r="F14" s="43" t="s">
        <v>89</v>
      </c>
      <c r="G14" s="43"/>
      <c r="H14" s="42" t="s">
        <v>96</v>
      </c>
      <c r="I14" s="42" t="s">
        <v>97</v>
      </c>
      <c r="J14" s="43"/>
    </row>
    <row r="15" customFormat="false" ht="15" hidden="false" customHeight="false" outlineLevel="0" collapsed="false">
      <c r="A15" s="41" t="n">
        <v>9</v>
      </c>
      <c r="B15" s="42" t="s">
        <v>98</v>
      </c>
      <c r="C15" s="42" t="s">
        <v>89</v>
      </c>
      <c r="D15" s="41" t="s">
        <v>94</v>
      </c>
      <c r="E15" s="42" t="s">
        <v>99</v>
      </c>
      <c r="F15" s="43" t="s">
        <v>89</v>
      </c>
      <c r="G15" s="43"/>
      <c r="H15" s="42" t="s">
        <v>100</v>
      </c>
      <c r="I15" s="42" t="s">
        <v>35</v>
      </c>
      <c r="J15" s="43"/>
    </row>
    <row r="16" customFormat="false" ht="15" hidden="false" customHeight="false" outlineLevel="0" collapsed="false">
      <c r="A16" s="41" t="n">
        <v>10</v>
      </c>
      <c r="B16" s="42" t="s">
        <v>101</v>
      </c>
      <c r="C16" s="42" t="s">
        <v>89</v>
      </c>
      <c r="D16" s="41" t="s">
        <v>102</v>
      </c>
      <c r="E16" s="42" t="s">
        <v>103</v>
      </c>
      <c r="F16" s="43" t="s">
        <v>89</v>
      </c>
      <c r="G16" s="43"/>
      <c r="H16" s="42" t="s">
        <v>104</v>
      </c>
      <c r="I16" s="42" t="s">
        <v>35</v>
      </c>
      <c r="J16" s="43"/>
    </row>
    <row r="17" customFormat="false" ht="15" hidden="false" customHeight="false" outlineLevel="0" collapsed="false">
      <c r="A17" s="44" t="n">
        <v>11</v>
      </c>
      <c r="B17" s="45" t="s">
        <v>105</v>
      </c>
      <c r="C17" s="45" t="s">
        <v>89</v>
      </c>
      <c r="D17" s="44" t="s">
        <v>106</v>
      </c>
      <c r="E17" s="45" t="s">
        <v>107</v>
      </c>
      <c r="F17" s="46" t="s">
        <v>89</v>
      </c>
      <c r="G17" s="46"/>
      <c r="H17" s="45" t="s">
        <v>108</v>
      </c>
      <c r="I17" s="45" t="s">
        <v>35</v>
      </c>
      <c r="J17" s="46"/>
    </row>
    <row r="18" customFormat="false" ht="23.85" hidden="false" customHeight="false" outlineLevel="0" collapsed="false">
      <c r="A18" s="41" t="n">
        <v>12</v>
      </c>
      <c r="B18" s="42" t="s">
        <v>109</v>
      </c>
      <c r="C18" s="42" t="s">
        <v>110</v>
      </c>
      <c r="D18" s="41" t="s">
        <v>111</v>
      </c>
      <c r="E18" s="42" t="s">
        <v>99</v>
      </c>
      <c r="F18" s="43" t="s">
        <v>89</v>
      </c>
      <c r="G18" s="43"/>
      <c r="H18" s="42" t="s">
        <v>112</v>
      </c>
      <c r="I18" s="42" t="s">
        <v>35</v>
      </c>
      <c r="J18" s="43"/>
    </row>
    <row r="19" customFormat="false" ht="15" hidden="false" customHeight="false" outlineLevel="0" collapsed="false">
      <c r="A19" s="41" t="n">
        <v>13</v>
      </c>
      <c r="B19" s="42" t="s">
        <v>113</v>
      </c>
      <c r="C19" s="42" t="s">
        <v>114</v>
      </c>
      <c r="D19" s="41" t="s">
        <v>111</v>
      </c>
      <c r="E19" s="42" t="s">
        <v>99</v>
      </c>
      <c r="F19" s="43" t="s">
        <v>89</v>
      </c>
      <c r="G19" s="43"/>
      <c r="H19" s="42" t="s">
        <v>115</v>
      </c>
      <c r="I19" s="42" t="s">
        <v>35</v>
      </c>
      <c r="J19" s="43"/>
    </row>
    <row r="20" customFormat="false" ht="23.85" hidden="false" customHeight="false" outlineLevel="0" collapsed="false">
      <c r="A20" s="47" t="n">
        <v>14</v>
      </c>
      <c r="B20" s="48" t="s">
        <v>116</v>
      </c>
      <c r="C20" s="48" t="s">
        <v>89</v>
      </c>
      <c r="D20" s="47" t="s">
        <v>83</v>
      </c>
      <c r="E20" s="48" t="s">
        <v>99</v>
      </c>
      <c r="F20" s="49" t="s">
        <v>89</v>
      </c>
      <c r="G20" s="49"/>
      <c r="H20" s="48" t="s">
        <v>117</v>
      </c>
      <c r="I20" s="48"/>
      <c r="J20" s="49"/>
    </row>
    <row r="21" customFormat="false" ht="15" hidden="false" customHeight="false" outlineLevel="0" collapsed="false">
      <c r="A21" s="44" t="n">
        <v>15</v>
      </c>
      <c r="B21" s="45" t="s">
        <v>118</v>
      </c>
      <c r="C21" s="45" t="s">
        <v>89</v>
      </c>
      <c r="D21" s="44" t="s">
        <v>83</v>
      </c>
      <c r="E21" s="45" t="s">
        <v>119</v>
      </c>
      <c r="F21" s="46" t="s">
        <v>89</v>
      </c>
      <c r="G21" s="46"/>
      <c r="H21" s="45" t="s">
        <v>120</v>
      </c>
      <c r="I21" s="45" t="s">
        <v>41</v>
      </c>
      <c r="J21" s="46"/>
    </row>
    <row r="22" customFormat="false" ht="15" hidden="false" customHeight="false" outlineLevel="0" collapsed="false">
      <c r="A22" s="47" t="n">
        <v>16</v>
      </c>
      <c r="B22" s="48" t="s">
        <v>121</v>
      </c>
      <c r="C22" s="48" t="s">
        <v>10</v>
      </c>
      <c r="D22" s="47" t="s">
        <v>83</v>
      </c>
      <c r="E22" s="48" t="s">
        <v>70</v>
      </c>
      <c r="F22" s="49" t="s">
        <v>89</v>
      </c>
      <c r="G22" s="49"/>
      <c r="H22" s="48" t="s">
        <v>122</v>
      </c>
      <c r="I22" s="48" t="s">
        <v>37</v>
      </c>
      <c r="J22" s="49"/>
    </row>
    <row r="23" customFormat="false" ht="15" hidden="false" customHeight="false" outlineLevel="0" collapsed="false">
      <c r="A23" s="41" t="n">
        <v>17</v>
      </c>
      <c r="B23" s="42" t="s">
        <v>123</v>
      </c>
      <c r="C23" s="42" t="s">
        <v>89</v>
      </c>
      <c r="D23" s="41" t="s">
        <v>124</v>
      </c>
      <c r="E23" s="42" t="s">
        <v>125</v>
      </c>
      <c r="F23" s="43" t="s">
        <v>89</v>
      </c>
      <c r="G23" s="43"/>
      <c r="H23" s="42" t="s">
        <v>126</v>
      </c>
      <c r="I23" s="42" t="s">
        <v>35</v>
      </c>
      <c r="J23" s="43"/>
    </row>
    <row r="24" customFormat="false" ht="15" hidden="false" customHeight="false" outlineLevel="0" collapsed="false">
      <c r="A24" s="47" t="n">
        <v>18</v>
      </c>
      <c r="B24" s="48" t="s">
        <v>127</v>
      </c>
      <c r="C24" s="48" t="s">
        <v>89</v>
      </c>
      <c r="D24" s="47" t="s">
        <v>128</v>
      </c>
      <c r="E24" s="48" t="s">
        <v>103</v>
      </c>
      <c r="F24" s="49" t="s">
        <v>89</v>
      </c>
      <c r="G24" s="49"/>
      <c r="H24" s="48" t="s">
        <v>129</v>
      </c>
      <c r="I24" s="48"/>
      <c r="J24" s="49"/>
    </row>
    <row r="25" customFormat="false" ht="15" hidden="false" customHeight="false" outlineLevel="0" collapsed="false">
      <c r="A25" s="44" t="n">
        <v>19</v>
      </c>
      <c r="B25" s="45" t="s">
        <v>130</v>
      </c>
      <c r="C25" s="45" t="s">
        <v>89</v>
      </c>
      <c r="D25" s="44" t="s">
        <v>75</v>
      </c>
      <c r="E25" s="45" t="s">
        <v>107</v>
      </c>
      <c r="F25" s="46" t="s">
        <v>89</v>
      </c>
      <c r="G25" s="46"/>
      <c r="H25" s="45" t="s">
        <v>131</v>
      </c>
      <c r="I25" s="45"/>
      <c r="J25" s="46"/>
    </row>
    <row r="26" customFormat="false" ht="15" hidden="false" customHeight="false" outlineLevel="0" collapsed="false">
      <c r="A26" s="47" t="n">
        <v>20</v>
      </c>
      <c r="B26" s="48" t="s">
        <v>132</v>
      </c>
      <c r="C26" s="48" t="s">
        <v>133</v>
      </c>
      <c r="D26" s="47" t="s">
        <v>75</v>
      </c>
      <c r="E26" s="48" t="s">
        <v>107</v>
      </c>
      <c r="F26" s="49" t="s">
        <v>89</v>
      </c>
      <c r="G26" s="49"/>
      <c r="H26" s="48" t="s">
        <v>134</v>
      </c>
      <c r="I26" s="48"/>
      <c r="J26" s="49"/>
    </row>
    <row r="27" customFormat="false" ht="15" hidden="false" customHeight="false" outlineLevel="0" collapsed="false">
      <c r="A27" s="44" t="n">
        <v>21</v>
      </c>
      <c r="B27" s="45" t="s">
        <v>135</v>
      </c>
      <c r="C27" s="45" t="s">
        <v>89</v>
      </c>
      <c r="D27" s="44" t="s">
        <v>75</v>
      </c>
      <c r="E27" s="45" t="s">
        <v>136</v>
      </c>
      <c r="F27" s="46" t="s">
        <v>89</v>
      </c>
      <c r="G27" s="46"/>
      <c r="H27" s="45" t="s">
        <v>137</v>
      </c>
      <c r="I27" s="45" t="s">
        <v>37</v>
      </c>
      <c r="J27" s="46"/>
    </row>
    <row r="28" customFormat="false" ht="15" hidden="false" customHeight="false" outlineLevel="0" collapsed="false">
      <c r="A28" s="41" t="n">
        <v>22</v>
      </c>
      <c r="B28" s="42" t="s">
        <v>138</v>
      </c>
      <c r="C28" s="42" t="s">
        <v>89</v>
      </c>
      <c r="D28" s="41" t="s">
        <v>75</v>
      </c>
      <c r="E28" s="42" t="s">
        <v>139</v>
      </c>
      <c r="F28" s="43" t="s">
        <v>89</v>
      </c>
      <c r="G28" s="43"/>
      <c r="H28" s="42" t="s">
        <v>140</v>
      </c>
      <c r="I28" s="42" t="s">
        <v>41</v>
      </c>
      <c r="J28" s="43"/>
    </row>
    <row r="29" customFormat="false" ht="15" hidden="false" customHeight="false" outlineLevel="0" collapsed="false">
      <c r="A29" s="39" t="s">
        <v>141</v>
      </c>
      <c r="B29" s="40"/>
      <c r="C29" s="40"/>
      <c r="D29" s="40"/>
      <c r="E29" s="40"/>
      <c r="F29" s="40"/>
      <c r="G29" s="40"/>
      <c r="H29" s="40"/>
      <c r="I29" s="40"/>
      <c r="J29" s="40"/>
    </row>
    <row r="30" customFormat="false" ht="35.05" hidden="false" customHeight="false" outlineLevel="0" collapsed="false">
      <c r="A30" s="41" t="n">
        <v>23</v>
      </c>
      <c r="B30" s="42" t="s">
        <v>142</v>
      </c>
      <c r="C30" s="42" t="s">
        <v>143</v>
      </c>
      <c r="D30" s="41" t="s">
        <v>75</v>
      </c>
      <c r="E30" s="42" t="s">
        <v>144</v>
      </c>
      <c r="F30" s="43" t="s">
        <v>145</v>
      </c>
      <c r="G30" s="43"/>
      <c r="H30" s="42" t="s">
        <v>146</v>
      </c>
      <c r="I30" s="42" t="s">
        <v>147</v>
      </c>
      <c r="J30" s="43"/>
    </row>
    <row r="31" customFormat="false" ht="15" hidden="false" customHeight="false" outlineLevel="0" collapsed="false">
      <c r="A31" s="44" t="n">
        <v>24</v>
      </c>
      <c r="B31" s="45" t="s">
        <v>148</v>
      </c>
      <c r="C31" s="45" t="s">
        <v>149</v>
      </c>
      <c r="D31" s="44" t="s">
        <v>75</v>
      </c>
      <c r="E31" s="45" t="s">
        <v>150</v>
      </c>
      <c r="F31" s="46" t="s">
        <v>145</v>
      </c>
      <c r="G31" s="46"/>
      <c r="H31" s="45" t="s">
        <v>151</v>
      </c>
      <c r="I31" s="45"/>
      <c r="J31" s="46"/>
    </row>
    <row r="32" customFormat="false" ht="23.85" hidden="false" customHeight="false" outlineLevel="0" collapsed="false">
      <c r="A32" s="41" t="n">
        <v>25</v>
      </c>
      <c r="B32" s="42" t="s">
        <v>152</v>
      </c>
      <c r="C32" s="42" t="s">
        <v>10</v>
      </c>
      <c r="D32" s="41" t="s">
        <v>153</v>
      </c>
      <c r="E32" s="42" t="s">
        <v>154</v>
      </c>
      <c r="F32" s="43" t="s">
        <v>145</v>
      </c>
      <c r="G32" s="43"/>
      <c r="H32" s="42" t="s">
        <v>155</v>
      </c>
      <c r="I32" s="42" t="s">
        <v>156</v>
      </c>
      <c r="J32" s="43"/>
    </row>
    <row r="33" customFormat="false" ht="15" hidden="false" customHeight="false" outlineLevel="0" collapsed="false">
      <c r="A33" s="41" t="n">
        <v>26</v>
      </c>
      <c r="B33" s="42" t="s">
        <v>157</v>
      </c>
      <c r="C33" s="42" t="s">
        <v>10</v>
      </c>
      <c r="D33" s="41" t="s">
        <v>158</v>
      </c>
      <c r="E33" s="42" t="s">
        <v>139</v>
      </c>
      <c r="F33" s="43" t="s">
        <v>145</v>
      </c>
      <c r="G33" s="43"/>
      <c r="H33" s="42" t="s">
        <v>159</v>
      </c>
      <c r="I33" s="42" t="s">
        <v>41</v>
      </c>
      <c r="J33" s="43"/>
    </row>
    <row r="34" customFormat="false" ht="15" hidden="false" customHeight="false" outlineLevel="0" collapsed="false">
      <c r="A34" s="47" t="n">
        <v>27</v>
      </c>
      <c r="B34" s="48" t="s">
        <v>160</v>
      </c>
      <c r="C34" s="48" t="s">
        <v>10</v>
      </c>
      <c r="D34" s="47" t="s">
        <v>161</v>
      </c>
      <c r="E34" s="48" t="s">
        <v>162</v>
      </c>
      <c r="F34" s="49" t="s">
        <v>145</v>
      </c>
      <c r="G34" s="49"/>
      <c r="H34" s="48" t="s">
        <v>163</v>
      </c>
      <c r="I34" s="48" t="s">
        <v>35</v>
      </c>
      <c r="J34" s="49"/>
    </row>
  </sheetData>
  <autoFilter ref="A4:J34"/>
  <dataValidations count="1">
    <dataValidation allowBlank="true" errorStyle="stop" operator="between" showDropDown="false" showErrorMessage="false" showInputMessage="false" sqref="J5:J34" type="list">
      <formula1>"SÍ,NO,FALTA,PARCIAL"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20" activePane="bottomLeft" state="frozen"/>
      <selection pane="topLeft" activeCell="A1" activeCellId="0" sqref="A1"/>
      <selection pane="bottomLeft" activeCell="B6" activeCellId="0" sqref="B6"/>
    </sheetView>
  </sheetViews>
  <sheetFormatPr defaultColWidth="12.6015625" defaultRowHeight="13.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10.5"/>
    <col collapsed="false" customWidth="true" hidden="false" outlineLevel="0" max="3" min="3" style="0" width="35"/>
    <col collapsed="false" customWidth="true" hidden="false" outlineLevel="0" max="4" min="4" style="0" width="22.79"/>
    <col collapsed="false" customWidth="true" hidden="false" outlineLevel="0" max="5" min="5" style="0" width="13.1"/>
    <col collapsed="false" customWidth="true" hidden="false" outlineLevel="0" max="6" min="6" style="0" width="19.2"/>
    <col collapsed="false" customWidth="true" hidden="false" outlineLevel="0" max="7" min="7" style="0" width="17.5"/>
    <col collapsed="false" customWidth="true" hidden="false" outlineLevel="0" max="8" min="8" style="0" width="19.2"/>
    <col collapsed="false" customWidth="true" hidden="false" outlineLevel="0" max="9" min="9" style="0" width="40.2"/>
    <col collapsed="false" customWidth="true" hidden="false" outlineLevel="0" max="10" min="10" style="0" width="28"/>
    <col collapsed="false" customWidth="true" hidden="false" outlineLevel="0" max="11" min="11" style="0" width="12.2"/>
  </cols>
  <sheetData>
    <row r="1" customFormat="false" ht="19.5" hidden="false" customHeight="true" outlineLevel="0" collapsed="false">
      <c r="A1" s="50" t="s">
        <v>164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false" ht="15" hidden="false" customHeight="true" outlineLevel="0" collapsed="false">
      <c r="A2" s="51" t="s">
        <v>165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4.25" hidden="false" customHeight="true" outlineLevel="0" collapsed="false"/>
    <row r="4" customFormat="false" ht="30" hidden="false" customHeight="true" outlineLevel="0" collapsed="false">
      <c r="A4" s="52" t="s">
        <v>51</v>
      </c>
      <c r="B4" s="52" t="s">
        <v>52</v>
      </c>
      <c r="C4" s="52" t="s">
        <v>53</v>
      </c>
      <c r="D4" s="52" t="s">
        <v>54</v>
      </c>
      <c r="E4" s="52" t="s">
        <v>55</v>
      </c>
      <c r="F4" s="52" t="s">
        <v>56</v>
      </c>
      <c r="G4" s="52" t="s">
        <v>57</v>
      </c>
      <c r="H4" s="52" t="s">
        <v>58</v>
      </c>
      <c r="I4" s="52" t="s">
        <v>59</v>
      </c>
      <c r="J4" s="52" t="s">
        <v>60</v>
      </c>
    </row>
    <row r="5" customFormat="false" ht="14.25" hidden="false" customHeight="true" outlineLevel="0" collapsed="false">
      <c r="A5" s="44" t="n">
        <v>1</v>
      </c>
      <c r="B5" s="53" t="s">
        <v>166</v>
      </c>
      <c r="C5" s="53" t="s">
        <v>167</v>
      </c>
      <c r="D5" s="44" t="s">
        <v>75</v>
      </c>
      <c r="E5" s="53" t="s">
        <v>168</v>
      </c>
      <c r="F5" s="54" t="s">
        <v>169</v>
      </c>
      <c r="G5" s="53"/>
      <c r="H5" s="53" t="s">
        <v>170</v>
      </c>
      <c r="I5" s="55" t="s">
        <v>43</v>
      </c>
      <c r="J5" s="54"/>
    </row>
    <row r="6" customFormat="false" ht="14.25" hidden="false" customHeight="true" outlineLevel="0" collapsed="false">
      <c r="A6" s="47" t="n">
        <v>2</v>
      </c>
      <c r="B6" s="56" t="s">
        <v>171</v>
      </c>
      <c r="C6" s="56" t="s">
        <v>167</v>
      </c>
      <c r="D6" s="47" t="s">
        <v>75</v>
      </c>
      <c r="E6" s="56" t="s">
        <v>172</v>
      </c>
      <c r="F6" s="57" t="s">
        <v>169</v>
      </c>
      <c r="G6" s="56"/>
      <c r="H6" s="56" t="s">
        <v>173</v>
      </c>
      <c r="I6" s="55" t="s">
        <v>37</v>
      </c>
      <c r="J6" s="57"/>
    </row>
    <row r="7" customFormat="false" ht="14.25" hidden="false" customHeight="true" outlineLevel="0" collapsed="false">
      <c r="A7" s="44" t="n">
        <v>3</v>
      </c>
      <c r="B7" s="53" t="s">
        <v>174</v>
      </c>
      <c r="C7" s="53" t="s">
        <v>167</v>
      </c>
      <c r="D7" s="44" t="s">
        <v>83</v>
      </c>
      <c r="E7" s="53" t="s">
        <v>91</v>
      </c>
      <c r="F7" s="54" t="s">
        <v>169</v>
      </c>
      <c r="G7" s="53"/>
      <c r="H7" s="53" t="s">
        <v>175</v>
      </c>
      <c r="I7" s="55" t="s">
        <v>176</v>
      </c>
      <c r="J7" s="54"/>
    </row>
    <row r="8" customFormat="false" ht="14.25" hidden="false" customHeight="true" outlineLevel="0" collapsed="false">
      <c r="A8" s="47" t="n">
        <v>4</v>
      </c>
      <c r="B8" s="56" t="s">
        <v>177</v>
      </c>
      <c r="C8" s="56" t="s">
        <v>11</v>
      </c>
      <c r="D8" s="47" t="s">
        <v>69</v>
      </c>
      <c r="E8" s="56" t="s">
        <v>91</v>
      </c>
      <c r="F8" s="57" t="s">
        <v>169</v>
      </c>
      <c r="G8" s="56"/>
      <c r="H8" s="56" t="s">
        <v>178</v>
      </c>
      <c r="I8" s="55" t="s">
        <v>37</v>
      </c>
      <c r="J8" s="57"/>
    </row>
    <row r="9" customFormat="false" ht="14.25" hidden="false" customHeight="true" outlineLevel="0" collapsed="false">
      <c r="A9" s="44" t="n">
        <v>5</v>
      </c>
      <c r="B9" s="53" t="s">
        <v>179</v>
      </c>
      <c r="C9" s="53" t="s">
        <v>180</v>
      </c>
      <c r="D9" s="44" t="s">
        <v>181</v>
      </c>
      <c r="E9" s="53" t="s">
        <v>182</v>
      </c>
      <c r="F9" s="54" t="s">
        <v>169</v>
      </c>
      <c r="G9" s="53"/>
      <c r="H9" s="53" t="s">
        <v>183</v>
      </c>
      <c r="I9" s="55" t="s">
        <v>37</v>
      </c>
      <c r="J9" s="54"/>
    </row>
    <row r="10" customFormat="false" ht="14.25" hidden="false" customHeight="true" outlineLevel="0" collapsed="false">
      <c r="A10" s="47" t="n">
        <v>6</v>
      </c>
      <c r="B10" s="56" t="s">
        <v>184</v>
      </c>
      <c r="C10" s="56" t="s">
        <v>185</v>
      </c>
      <c r="D10" s="47" t="s">
        <v>186</v>
      </c>
      <c r="E10" s="56" t="s">
        <v>80</v>
      </c>
      <c r="F10" s="57" t="s">
        <v>169</v>
      </c>
      <c r="G10" s="56"/>
      <c r="H10" s="56" t="s">
        <v>187</v>
      </c>
      <c r="I10" s="55" t="s">
        <v>37</v>
      </c>
      <c r="J10" s="57"/>
    </row>
    <row r="11" customFormat="false" ht="14.25" hidden="false" customHeight="true" outlineLevel="0" collapsed="false">
      <c r="A11" s="44" t="n">
        <v>7</v>
      </c>
      <c r="B11" s="53" t="s">
        <v>188</v>
      </c>
      <c r="C11" s="53" t="s">
        <v>189</v>
      </c>
      <c r="D11" s="44" t="s">
        <v>186</v>
      </c>
      <c r="E11" s="53" t="s">
        <v>190</v>
      </c>
      <c r="F11" s="54" t="s">
        <v>169</v>
      </c>
      <c r="G11" s="53"/>
      <c r="H11" s="53"/>
      <c r="I11" s="53"/>
      <c r="J11" s="54"/>
    </row>
    <row r="12" customFormat="false" ht="14.25" hidden="false" customHeight="true" outlineLevel="0" collapsed="false">
      <c r="A12" s="47" t="n">
        <v>8</v>
      </c>
      <c r="B12" s="56" t="s">
        <v>191</v>
      </c>
      <c r="C12" s="56" t="s">
        <v>149</v>
      </c>
      <c r="D12" s="47" t="s">
        <v>75</v>
      </c>
      <c r="E12" s="56" t="s">
        <v>192</v>
      </c>
      <c r="F12" s="57" t="s">
        <v>169</v>
      </c>
      <c r="G12" s="56"/>
      <c r="H12" s="56" t="s">
        <v>193</v>
      </c>
      <c r="I12" s="56"/>
      <c r="J12" s="57"/>
    </row>
    <row r="13" customFormat="false" ht="14.25" hidden="false" customHeight="true" outlineLevel="0" collapsed="false">
      <c r="A13" s="44" t="n">
        <v>9</v>
      </c>
      <c r="B13" s="53" t="s">
        <v>194</v>
      </c>
      <c r="C13" s="53" t="s">
        <v>149</v>
      </c>
      <c r="D13" s="44" t="s">
        <v>75</v>
      </c>
      <c r="E13" s="53" t="s">
        <v>195</v>
      </c>
      <c r="F13" s="54" t="s">
        <v>169</v>
      </c>
      <c r="G13" s="53"/>
      <c r="H13" s="53" t="s">
        <v>196</v>
      </c>
      <c r="I13" s="53"/>
      <c r="J13" s="54"/>
    </row>
    <row r="14" customFormat="false" ht="14.25" hidden="false" customHeight="true" outlineLevel="0" collapsed="false">
      <c r="A14" s="47" t="n">
        <v>10</v>
      </c>
      <c r="B14" s="56" t="s">
        <v>197</v>
      </c>
      <c r="C14" s="56" t="s">
        <v>149</v>
      </c>
      <c r="D14" s="47" t="s">
        <v>75</v>
      </c>
      <c r="E14" s="56" t="s">
        <v>195</v>
      </c>
      <c r="F14" s="57" t="s">
        <v>169</v>
      </c>
      <c r="G14" s="56"/>
      <c r="H14" s="56"/>
      <c r="I14" s="56"/>
      <c r="J14" s="57"/>
    </row>
    <row r="15" customFormat="false" ht="14.25" hidden="false" customHeight="true" outlineLevel="0" collapsed="false">
      <c r="A15" s="44" t="n">
        <v>11</v>
      </c>
      <c r="B15" s="53" t="s">
        <v>198</v>
      </c>
      <c r="C15" s="53" t="s">
        <v>149</v>
      </c>
      <c r="D15" s="44" t="s">
        <v>75</v>
      </c>
      <c r="E15" s="53" t="s">
        <v>192</v>
      </c>
      <c r="F15" s="54" t="s">
        <v>169</v>
      </c>
      <c r="G15" s="53"/>
      <c r="H15" s="53" t="s">
        <v>199</v>
      </c>
      <c r="I15" s="53"/>
      <c r="J15" s="54"/>
    </row>
    <row r="16" customFormat="false" ht="14.25" hidden="false" customHeight="true" outlineLevel="0" collapsed="false">
      <c r="A16" s="47" t="n">
        <v>12</v>
      </c>
      <c r="B16" s="56" t="s">
        <v>200</v>
      </c>
      <c r="C16" s="56" t="s">
        <v>201</v>
      </c>
      <c r="D16" s="47" t="s">
        <v>75</v>
      </c>
      <c r="E16" s="56" t="s">
        <v>192</v>
      </c>
      <c r="F16" s="57" t="s">
        <v>169</v>
      </c>
      <c r="G16" s="56"/>
      <c r="H16" s="56" t="s">
        <v>202</v>
      </c>
      <c r="I16" s="56"/>
      <c r="J16" s="57"/>
    </row>
    <row r="17" customFormat="false" ht="14.25" hidden="false" customHeight="true" outlineLevel="0" collapsed="false">
      <c r="A17" s="44" t="n">
        <v>13</v>
      </c>
      <c r="B17" s="53" t="s">
        <v>203</v>
      </c>
      <c r="C17" s="53" t="s">
        <v>149</v>
      </c>
      <c r="D17" s="44" t="s">
        <v>204</v>
      </c>
      <c r="E17" s="53" t="s">
        <v>162</v>
      </c>
      <c r="F17" s="54" t="s">
        <v>169</v>
      </c>
      <c r="G17" s="53"/>
      <c r="H17" s="53" t="s">
        <v>205</v>
      </c>
      <c r="I17" s="55" t="s">
        <v>35</v>
      </c>
      <c r="J17" s="54"/>
    </row>
    <row r="18" customFormat="false" ht="14.25" hidden="false" customHeight="true" outlineLevel="0" collapsed="false">
      <c r="A18" s="47" t="n">
        <v>14</v>
      </c>
      <c r="B18" s="56" t="s">
        <v>206</v>
      </c>
      <c r="C18" s="56" t="s">
        <v>149</v>
      </c>
      <c r="D18" s="47" t="s">
        <v>161</v>
      </c>
      <c r="E18" s="56" t="s">
        <v>162</v>
      </c>
      <c r="F18" s="57" t="s">
        <v>169</v>
      </c>
      <c r="G18" s="56"/>
      <c r="H18" s="56" t="s">
        <v>207</v>
      </c>
      <c r="I18" s="56"/>
      <c r="J18" s="57"/>
    </row>
    <row r="19" customFormat="false" ht="14.25" hidden="false" customHeight="true" outlineLevel="0" collapsed="false">
      <c r="A19" s="44" t="n">
        <v>15</v>
      </c>
      <c r="B19" s="53" t="s">
        <v>208</v>
      </c>
      <c r="C19" s="53" t="s">
        <v>149</v>
      </c>
      <c r="D19" s="44" t="s">
        <v>69</v>
      </c>
      <c r="E19" s="53" t="s">
        <v>162</v>
      </c>
      <c r="F19" s="54" t="s">
        <v>169</v>
      </c>
      <c r="G19" s="53"/>
      <c r="H19" s="53"/>
      <c r="I19" s="53"/>
      <c r="J19" s="54"/>
    </row>
    <row r="20" customFormat="false" ht="14.25" hidden="false" customHeight="true" outlineLevel="0" collapsed="false">
      <c r="A20" s="47" t="n">
        <v>16</v>
      </c>
      <c r="B20" s="56" t="s">
        <v>209</v>
      </c>
      <c r="C20" s="56" t="s">
        <v>167</v>
      </c>
      <c r="D20" s="47" t="s">
        <v>210</v>
      </c>
      <c r="E20" s="56" t="s">
        <v>211</v>
      </c>
      <c r="F20" s="57" t="s">
        <v>169</v>
      </c>
      <c r="G20" s="56"/>
      <c r="H20" s="56" t="s">
        <v>212</v>
      </c>
      <c r="I20" s="55" t="s">
        <v>35</v>
      </c>
      <c r="J20" s="57"/>
    </row>
    <row r="21" customFormat="false" ht="14.25" hidden="false" customHeight="true" outlineLevel="0" collapsed="false">
      <c r="A21" s="44" t="n">
        <v>17</v>
      </c>
      <c r="B21" s="53" t="s">
        <v>213</v>
      </c>
      <c r="C21" s="53" t="s">
        <v>149</v>
      </c>
      <c r="D21" s="44" t="s">
        <v>75</v>
      </c>
      <c r="E21" s="53" t="s">
        <v>70</v>
      </c>
      <c r="F21" s="54" t="s">
        <v>169</v>
      </c>
      <c r="G21" s="53"/>
      <c r="H21" s="53" t="s">
        <v>214</v>
      </c>
      <c r="I21" s="53"/>
      <c r="J21" s="54"/>
    </row>
    <row r="22" customFormat="false" ht="14.25" hidden="false" customHeight="true" outlineLevel="0" collapsed="false">
      <c r="A22" s="47" t="n">
        <v>18</v>
      </c>
      <c r="B22" s="56" t="s">
        <v>215</v>
      </c>
      <c r="C22" s="56" t="s">
        <v>167</v>
      </c>
      <c r="D22" s="47" t="s">
        <v>75</v>
      </c>
      <c r="E22" s="56" t="s">
        <v>216</v>
      </c>
      <c r="F22" s="57" t="s">
        <v>169</v>
      </c>
      <c r="G22" s="56"/>
      <c r="H22" s="56" t="s">
        <v>217</v>
      </c>
      <c r="I22" s="55" t="s">
        <v>37</v>
      </c>
      <c r="J22" s="57"/>
    </row>
    <row r="23" customFormat="false" ht="14.25" hidden="false" customHeight="true" outlineLevel="0" collapsed="false">
      <c r="A23" s="44" t="n">
        <v>19</v>
      </c>
      <c r="B23" s="53" t="s">
        <v>218</v>
      </c>
      <c r="C23" s="53" t="s">
        <v>219</v>
      </c>
      <c r="D23" s="44" t="s">
        <v>220</v>
      </c>
      <c r="E23" s="53" t="s">
        <v>154</v>
      </c>
      <c r="F23" s="54" t="s">
        <v>169</v>
      </c>
      <c r="G23" s="53"/>
      <c r="H23" s="53" t="s">
        <v>221</v>
      </c>
      <c r="I23" s="53"/>
      <c r="J23" s="54"/>
    </row>
    <row r="24" customFormat="false" ht="14.25" hidden="false" customHeight="true" outlineLevel="0" collapsed="false">
      <c r="A24" s="47" t="n">
        <v>20</v>
      </c>
      <c r="B24" s="56" t="s">
        <v>222</v>
      </c>
      <c r="C24" s="56" t="s">
        <v>223</v>
      </c>
      <c r="D24" s="47" t="s">
        <v>75</v>
      </c>
      <c r="E24" s="56" t="s">
        <v>192</v>
      </c>
      <c r="F24" s="57" t="s">
        <v>169</v>
      </c>
      <c r="G24" s="56"/>
      <c r="H24" s="56"/>
      <c r="I24" s="56"/>
      <c r="J24" s="57"/>
    </row>
    <row r="25" customFormat="false" ht="14.25" hidden="false" customHeight="true" outlineLevel="0" collapsed="false">
      <c r="A25" s="44" t="n">
        <v>21</v>
      </c>
      <c r="B25" s="53" t="s">
        <v>224</v>
      </c>
      <c r="C25" s="53" t="s">
        <v>225</v>
      </c>
      <c r="D25" s="44" t="s">
        <v>124</v>
      </c>
      <c r="E25" s="53" t="s">
        <v>154</v>
      </c>
      <c r="F25" s="54" t="s">
        <v>169</v>
      </c>
      <c r="G25" s="53"/>
      <c r="H25" s="53" t="s">
        <v>226</v>
      </c>
      <c r="I25" s="55" t="s">
        <v>39</v>
      </c>
      <c r="J25" s="54"/>
    </row>
    <row r="26" customFormat="false" ht="14.25" hidden="false" customHeight="true" outlineLevel="0" collapsed="false">
      <c r="A26" s="47" t="n">
        <v>22</v>
      </c>
      <c r="B26" s="56" t="s">
        <v>227</v>
      </c>
      <c r="C26" s="56" t="s">
        <v>149</v>
      </c>
      <c r="D26" s="47" t="s">
        <v>75</v>
      </c>
      <c r="E26" s="56" t="s">
        <v>195</v>
      </c>
      <c r="F26" s="57" t="s">
        <v>169</v>
      </c>
      <c r="G26" s="56"/>
      <c r="H26" s="56"/>
      <c r="I26" s="56"/>
      <c r="J26" s="57"/>
    </row>
    <row r="27" customFormat="false" ht="14.25" hidden="false" customHeight="true" outlineLevel="0" collapsed="false">
      <c r="A27" s="44" t="n">
        <v>23</v>
      </c>
      <c r="B27" s="53" t="s">
        <v>228</v>
      </c>
      <c r="C27" s="53" t="s">
        <v>167</v>
      </c>
      <c r="D27" s="44" t="s">
        <v>229</v>
      </c>
      <c r="E27" s="53" t="s">
        <v>154</v>
      </c>
      <c r="F27" s="54" t="s">
        <v>169</v>
      </c>
      <c r="G27" s="53"/>
      <c r="H27" s="53" t="s">
        <v>230</v>
      </c>
      <c r="I27" s="53"/>
      <c r="J27" s="54"/>
    </row>
    <row r="28" customFormat="false" ht="14.25" hidden="false" customHeight="true" outlineLevel="0" collapsed="false">
      <c r="A28" s="47" t="n">
        <v>24</v>
      </c>
      <c r="B28" s="56" t="s">
        <v>231</v>
      </c>
      <c r="C28" s="56" t="s">
        <v>167</v>
      </c>
      <c r="D28" s="47" t="s">
        <v>232</v>
      </c>
      <c r="E28" s="56" t="s">
        <v>233</v>
      </c>
      <c r="F28" s="57" t="s">
        <v>169</v>
      </c>
      <c r="G28" s="56"/>
      <c r="H28" s="56" t="s">
        <v>234</v>
      </c>
      <c r="I28" s="55" t="s">
        <v>35</v>
      </c>
      <c r="J28" s="57"/>
    </row>
    <row r="29" customFormat="false" ht="14.25" hidden="false" customHeight="true" outlineLevel="0" collapsed="false">
      <c r="A29" s="44" t="n">
        <v>25</v>
      </c>
      <c r="B29" s="53" t="s">
        <v>235</v>
      </c>
      <c r="C29" s="53" t="s">
        <v>236</v>
      </c>
      <c r="D29" s="44" t="s">
        <v>237</v>
      </c>
      <c r="E29" s="53" t="s">
        <v>80</v>
      </c>
      <c r="F29" s="54" t="s">
        <v>169</v>
      </c>
      <c r="G29" s="53"/>
      <c r="H29" s="53"/>
      <c r="I29" s="53"/>
      <c r="J29" s="54"/>
    </row>
    <row r="30" customFormat="false" ht="14.25" hidden="false" customHeight="true" outlineLevel="0" collapsed="false">
      <c r="A30" s="47" t="n">
        <v>26</v>
      </c>
      <c r="B30" s="56" t="s">
        <v>238</v>
      </c>
      <c r="C30" s="56" t="s">
        <v>239</v>
      </c>
      <c r="D30" s="47" t="s">
        <v>186</v>
      </c>
      <c r="E30" s="56" t="s">
        <v>80</v>
      </c>
      <c r="F30" s="57" t="s">
        <v>169</v>
      </c>
      <c r="G30" s="56"/>
      <c r="H30" s="56"/>
      <c r="I30" s="56"/>
      <c r="J30" s="57"/>
    </row>
    <row r="31" customFormat="false" ht="14.25" hidden="false" customHeight="true" outlineLevel="0" collapsed="false">
      <c r="A31" s="44" t="n">
        <v>27</v>
      </c>
      <c r="B31" s="53" t="s">
        <v>240</v>
      </c>
      <c r="C31" s="53" t="s">
        <v>241</v>
      </c>
      <c r="D31" s="44" t="s">
        <v>186</v>
      </c>
      <c r="E31" s="53" t="s">
        <v>80</v>
      </c>
      <c r="F31" s="54" t="s">
        <v>169</v>
      </c>
      <c r="G31" s="53"/>
      <c r="H31" s="53"/>
      <c r="I31" s="53"/>
      <c r="J31" s="54"/>
    </row>
    <row r="32" customFormat="false" ht="14.25" hidden="false" customHeight="true" outlineLevel="0" collapsed="false">
      <c r="A32" s="47" t="n">
        <v>28</v>
      </c>
      <c r="B32" s="56" t="s">
        <v>242</v>
      </c>
      <c r="C32" s="56" t="s">
        <v>243</v>
      </c>
      <c r="D32" s="47" t="s">
        <v>186</v>
      </c>
      <c r="E32" s="56" t="s">
        <v>80</v>
      </c>
      <c r="F32" s="57" t="s">
        <v>169</v>
      </c>
      <c r="G32" s="56"/>
      <c r="H32" s="56"/>
      <c r="I32" s="56"/>
      <c r="J32" s="57"/>
    </row>
    <row r="33" customFormat="false" ht="14.25" hidden="false" customHeight="true" outlineLevel="0" collapsed="false">
      <c r="A33" s="44" t="n">
        <v>29</v>
      </c>
      <c r="B33" s="53" t="s">
        <v>244</v>
      </c>
      <c r="C33" s="53" t="s">
        <v>245</v>
      </c>
      <c r="D33" s="44" t="s">
        <v>186</v>
      </c>
      <c r="E33" s="53" t="s">
        <v>80</v>
      </c>
      <c r="F33" s="54" t="s">
        <v>169</v>
      </c>
      <c r="G33" s="53"/>
      <c r="H33" s="53"/>
      <c r="I33" s="53"/>
      <c r="J33" s="54"/>
    </row>
    <row r="34" customFormat="false" ht="14.25" hidden="false" customHeight="true" outlineLevel="0" collapsed="false">
      <c r="A34" s="47" t="n">
        <v>30</v>
      </c>
      <c r="B34" s="56" t="s">
        <v>246</v>
      </c>
      <c r="C34" s="56" t="s">
        <v>167</v>
      </c>
      <c r="D34" s="47" t="s">
        <v>186</v>
      </c>
      <c r="E34" s="56" t="s">
        <v>80</v>
      </c>
      <c r="F34" s="57" t="s">
        <v>169</v>
      </c>
      <c r="G34" s="56"/>
      <c r="H34" s="56"/>
      <c r="I34" s="56"/>
      <c r="J34" s="57"/>
    </row>
    <row r="35" customFormat="false" ht="14.25" hidden="false" customHeight="true" outlineLevel="0" collapsed="false">
      <c r="A35" s="44" t="n">
        <v>31</v>
      </c>
      <c r="B35" s="53" t="s">
        <v>247</v>
      </c>
      <c r="C35" s="53" t="s">
        <v>167</v>
      </c>
      <c r="D35" s="44" t="s">
        <v>75</v>
      </c>
      <c r="E35" s="53" t="s">
        <v>136</v>
      </c>
      <c r="F35" s="54" t="s">
        <v>169</v>
      </c>
      <c r="G35" s="53"/>
      <c r="H35" s="53" t="s">
        <v>248</v>
      </c>
      <c r="I35" s="55" t="s">
        <v>37</v>
      </c>
      <c r="J35" s="54"/>
    </row>
    <row r="36" customFormat="false" ht="14.25" hidden="false" customHeight="true" outlineLevel="0" collapsed="false">
      <c r="A36" s="47" t="n">
        <v>32</v>
      </c>
      <c r="B36" s="56" t="s">
        <v>249</v>
      </c>
      <c r="C36" s="56" t="s">
        <v>167</v>
      </c>
      <c r="D36" s="47" t="s">
        <v>181</v>
      </c>
      <c r="E36" s="56" t="s">
        <v>250</v>
      </c>
      <c r="F36" s="57" t="s">
        <v>169</v>
      </c>
      <c r="G36" s="56"/>
      <c r="H36" s="56" t="s">
        <v>251</v>
      </c>
      <c r="I36" s="56"/>
      <c r="J36" s="57"/>
    </row>
    <row r="37" customFormat="false" ht="14.25" hidden="false" customHeight="true" outlineLevel="0" collapsed="false">
      <c r="A37" s="44" t="n">
        <v>33</v>
      </c>
      <c r="B37" s="53" t="s">
        <v>252</v>
      </c>
      <c r="C37" s="53" t="s">
        <v>253</v>
      </c>
      <c r="D37" s="44" t="s">
        <v>181</v>
      </c>
      <c r="E37" s="53" t="s">
        <v>254</v>
      </c>
      <c r="F37" s="54" t="s">
        <v>169</v>
      </c>
      <c r="G37" s="53"/>
      <c r="H37" s="53" t="s">
        <v>255</v>
      </c>
      <c r="I37" s="53"/>
      <c r="J37" s="54"/>
    </row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autoFilter ref="A4:J37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2.6015625" defaultRowHeight="13.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10.5"/>
    <col collapsed="false" customWidth="true" hidden="false" outlineLevel="0" max="3" min="3" style="0" width="35"/>
    <col collapsed="false" customWidth="true" hidden="false" outlineLevel="0" max="4" min="4" style="0" width="22.79"/>
    <col collapsed="false" customWidth="true" hidden="false" outlineLevel="0" max="5" min="5" style="0" width="13.1"/>
    <col collapsed="false" customWidth="true" hidden="false" outlineLevel="0" max="6" min="6" style="0" width="19.2"/>
    <col collapsed="false" customWidth="true" hidden="false" outlineLevel="0" max="7" min="7" style="0" width="17.5"/>
    <col collapsed="false" customWidth="true" hidden="false" outlineLevel="0" max="8" min="8" style="0" width="19.2"/>
    <col collapsed="false" customWidth="true" hidden="false" outlineLevel="0" max="9" min="9" style="0" width="40.2"/>
    <col collapsed="false" customWidth="true" hidden="false" outlineLevel="0" max="10" min="10" style="0" width="28"/>
    <col collapsed="false" customWidth="true" hidden="false" outlineLevel="0" max="11" min="11" style="0" width="12.2"/>
  </cols>
  <sheetData>
    <row r="1" customFormat="false" ht="19.5" hidden="false" customHeight="true" outlineLevel="0" collapsed="false">
      <c r="A1" s="50" t="s">
        <v>256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false" ht="15" hidden="false" customHeight="true" outlineLevel="0" collapsed="false">
      <c r="A2" s="58" t="s">
        <v>257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customFormat="false" ht="14.25" hidden="false" customHeight="true" outlineLevel="0" collapsed="false"/>
    <row r="4" customFormat="false" ht="30" hidden="false" customHeight="true" outlineLevel="0" collapsed="false">
      <c r="A4" s="52" t="s">
        <v>51</v>
      </c>
      <c r="B4" s="52" t="s">
        <v>52</v>
      </c>
      <c r="C4" s="52" t="s">
        <v>53</v>
      </c>
      <c r="D4" s="52" t="s">
        <v>54</v>
      </c>
      <c r="E4" s="52" t="s">
        <v>55</v>
      </c>
      <c r="F4" s="52" t="s">
        <v>56</v>
      </c>
      <c r="G4" s="52" t="s">
        <v>57</v>
      </c>
      <c r="H4" s="52" t="s">
        <v>58</v>
      </c>
      <c r="I4" s="52" t="s">
        <v>59</v>
      </c>
      <c r="J4" s="52" t="s">
        <v>60</v>
      </c>
    </row>
    <row r="5" customFormat="false" ht="14.25" hidden="false" customHeight="true" outlineLevel="0" collapsed="false">
      <c r="A5" s="44" t="n">
        <v>1</v>
      </c>
      <c r="B5" s="53" t="s">
        <v>258</v>
      </c>
      <c r="C5" s="53" t="s">
        <v>259</v>
      </c>
      <c r="D5" s="44" t="s">
        <v>75</v>
      </c>
      <c r="E5" s="53" t="s">
        <v>192</v>
      </c>
      <c r="F5" s="54" t="s">
        <v>260</v>
      </c>
      <c r="G5" s="53"/>
      <c r="H5" s="53" t="s">
        <v>261</v>
      </c>
      <c r="I5" s="55" t="s">
        <v>37</v>
      </c>
      <c r="J5" s="54"/>
    </row>
    <row r="6" customFormat="false" ht="14.25" hidden="false" customHeight="true" outlineLevel="0" collapsed="false">
      <c r="A6" s="47" t="n">
        <v>2</v>
      </c>
      <c r="B6" s="56" t="s">
        <v>262</v>
      </c>
      <c r="C6" s="56" t="s">
        <v>263</v>
      </c>
      <c r="D6" s="47" t="s">
        <v>264</v>
      </c>
      <c r="E6" s="56" t="s">
        <v>265</v>
      </c>
      <c r="F6" s="57" t="s">
        <v>260</v>
      </c>
      <c r="G6" s="56"/>
      <c r="H6" s="56" t="s">
        <v>266</v>
      </c>
      <c r="I6" s="55" t="s">
        <v>267</v>
      </c>
      <c r="J6" s="57"/>
    </row>
    <row r="7" customFormat="false" ht="14.25" hidden="false" customHeight="true" outlineLevel="0" collapsed="false">
      <c r="A7" s="44" t="n">
        <v>3</v>
      </c>
      <c r="B7" s="53" t="s">
        <v>268</v>
      </c>
      <c r="C7" s="53" t="s">
        <v>269</v>
      </c>
      <c r="D7" s="44" t="s">
        <v>270</v>
      </c>
      <c r="E7" s="53" t="s">
        <v>271</v>
      </c>
      <c r="F7" s="54" t="s">
        <v>260</v>
      </c>
      <c r="G7" s="53"/>
      <c r="H7" s="53" t="s">
        <v>272</v>
      </c>
      <c r="I7" s="53"/>
      <c r="J7" s="54"/>
    </row>
    <row r="8" customFormat="false" ht="14.25" hidden="false" customHeight="true" outlineLevel="0" collapsed="false">
      <c r="A8" s="47" t="n">
        <v>4</v>
      </c>
      <c r="B8" s="56" t="s">
        <v>273</v>
      </c>
      <c r="C8" s="56" t="s">
        <v>274</v>
      </c>
      <c r="D8" s="47" t="s">
        <v>75</v>
      </c>
      <c r="E8" s="56" t="s">
        <v>192</v>
      </c>
      <c r="F8" s="57" t="s">
        <v>275</v>
      </c>
      <c r="G8" s="56"/>
      <c r="H8" s="56"/>
      <c r="I8" s="56"/>
      <c r="J8" s="57"/>
    </row>
    <row r="9" customFormat="false" ht="14.25" hidden="false" customHeight="true" outlineLevel="0" collapsed="false">
      <c r="A9" s="44" t="n">
        <v>5</v>
      </c>
      <c r="B9" s="53" t="s">
        <v>276</v>
      </c>
      <c r="C9" s="53" t="s">
        <v>149</v>
      </c>
      <c r="D9" s="44" t="s">
        <v>75</v>
      </c>
      <c r="E9" s="53" t="s">
        <v>195</v>
      </c>
      <c r="F9" s="54" t="s">
        <v>275</v>
      </c>
      <c r="G9" s="53"/>
      <c r="H9" s="53"/>
      <c r="I9" s="53"/>
      <c r="J9" s="54"/>
    </row>
    <row r="10" customFormat="false" ht="14.25" hidden="false" customHeight="true" outlineLevel="0" collapsed="false">
      <c r="A10" s="47" t="n">
        <v>6</v>
      </c>
      <c r="B10" s="56" t="s">
        <v>277</v>
      </c>
      <c r="C10" s="56" t="s">
        <v>149</v>
      </c>
      <c r="D10" s="47" t="s">
        <v>75</v>
      </c>
      <c r="E10" s="56" t="s">
        <v>192</v>
      </c>
      <c r="F10" s="57" t="s">
        <v>260</v>
      </c>
      <c r="G10" s="56"/>
      <c r="H10" s="56"/>
      <c r="I10" s="56"/>
      <c r="J10" s="57"/>
    </row>
    <row r="11" customFormat="false" ht="14.25" hidden="false" customHeight="true" outlineLevel="0" collapsed="false">
      <c r="A11" s="44" t="n">
        <v>7</v>
      </c>
      <c r="B11" s="53" t="s">
        <v>278</v>
      </c>
      <c r="C11" s="53" t="s">
        <v>279</v>
      </c>
      <c r="D11" s="44" t="s">
        <v>69</v>
      </c>
      <c r="E11" s="53" t="s">
        <v>154</v>
      </c>
      <c r="F11" s="54" t="s">
        <v>260</v>
      </c>
      <c r="G11" s="53"/>
      <c r="H11" s="53" t="s">
        <v>280</v>
      </c>
      <c r="I11" s="53"/>
      <c r="J11" s="54"/>
    </row>
    <row r="12" customFormat="false" ht="14.25" hidden="false" customHeight="true" outlineLevel="0" collapsed="false">
      <c r="A12" s="47" t="n">
        <v>8</v>
      </c>
      <c r="B12" s="56" t="s">
        <v>281</v>
      </c>
      <c r="C12" s="56" t="s">
        <v>282</v>
      </c>
      <c r="D12" s="47" t="s">
        <v>69</v>
      </c>
      <c r="E12" s="56" t="s">
        <v>154</v>
      </c>
      <c r="F12" s="57" t="s">
        <v>260</v>
      </c>
      <c r="G12" s="56"/>
      <c r="H12" s="56" t="s">
        <v>283</v>
      </c>
      <c r="I12" s="56"/>
      <c r="J12" s="57"/>
    </row>
    <row r="13" customFormat="false" ht="14.25" hidden="false" customHeight="true" outlineLevel="0" collapsed="false">
      <c r="A13" s="44" t="n">
        <v>9</v>
      </c>
      <c r="B13" s="53" t="s">
        <v>284</v>
      </c>
      <c r="C13" s="53" t="s">
        <v>285</v>
      </c>
      <c r="D13" s="44" t="s">
        <v>75</v>
      </c>
      <c r="E13" s="53" t="s">
        <v>192</v>
      </c>
      <c r="F13" s="54" t="s">
        <v>260</v>
      </c>
      <c r="G13" s="53"/>
      <c r="H13" s="53"/>
      <c r="I13" s="53"/>
      <c r="J13" s="54"/>
    </row>
    <row r="14" customFormat="false" ht="14.25" hidden="false" customHeight="true" outlineLevel="0" collapsed="false">
      <c r="A14" s="47" t="n">
        <v>10</v>
      </c>
      <c r="B14" s="56" t="s">
        <v>286</v>
      </c>
      <c r="C14" s="56" t="s">
        <v>287</v>
      </c>
      <c r="D14" s="47" t="s">
        <v>75</v>
      </c>
      <c r="E14" s="56" t="s">
        <v>192</v>
      </c>
      <c r="F14" s="57" t="s">
        <v>260</v>
      </c>
      <c r="G14" s="56"/>
      <c r="H14" s="56"/>
      <c r="I14" s="56"/>
      <c r="J14" s="57"/>
    </row>
    <row r="15" customFormat="false" ht="14.25" hidden="false" customHeight="true" outlineLevel="0" collapsed="false">
      <c r="A15" s="44" t="n">
        <v>11</v>
      </c>
      <c r="B15" s="53" t="s">
        <v>288</v>
      </c>
      <c r="C15" s="53" t="s">
        <v>149</v>
      </c>
      <c r="D15" s="44" t="s">
        <v>69</v>
      </c>
      <c r="E15" s="53" t="s">
        <v>154</v>
      </c>
      <c r="F15" s="54" t="s">
        <v>260</v>
      </c>
      <c r="G15" s="53"/>
      <c r="H15" s="53" t="s">
        <v>289</v>
      </c>
      <c r="I15" s="53"/>
      <c r="J15" s="54"/>
    </row>
    <row r="16" customFormat="false" ht="14.25" hidden="false" customHeight="true" outlineLevel="0" collapsed="false">
      <c r="A16" s="47" t="n">
        <v>12</v>
      </c>
      <c r="B16" s="56" t="s">
        <v>290</v>
      </c>
      <c r="C16" s="56" t="s">
        <v>291</v>
      </c>
      <c r="D16" s="47" t="s">
        <v>292</v>
      </c>
      <c r="E16" s="56" t="s">
        <v>154</v>
      </c>
      <c r="F16" s="57" t="s">
        <v>260</v>
      </c>
      <c r="G16" s="56"/>
      <c r="H16" s="56" t="s">
        <v>293</v>
      </c>
      <c r="I16" s="55" t="s">
        <v>35</v>
      </c>
      <c r="J16" s="57"/>
    </row>
    <row r="17" customFormat="false" ht="14.25" hidden="false" customHeight="true" outlineLevel="0" collapsed="false">
      <c r="A17" s="44" t="n">
        <v>13</v>
      </c>
      <c r="B17" s="53" t="s">
        <v>294</v>
      </c>
      <c r="C17" s="53" t="s">
        <v>295</v>
      </c>
      <c r="D17" s="44" t="s">
        <v>75</v>
      </c>
      <c r="E17" s="53" t="s">
        <v>296</v>
      </c>
      <c r="F17" s="54" t="s">
        <v>260</v>
      </c>
      <c r="G17" s="53"/>
      <c r="H17" s="53" t="s">
        <v>297</v>
      </c>
      <c r="I17" s="53"/>
      <c r="J17" s="54"/>
    </row>
    <row r="18" customFormat="false" ht="14.25" hidden="false" customHeight="true" outlineLevel="0" collapsed="false">
      <c r="A18" s="47" t="n">
        <v>14</v>
      </c>
      <c r="B18" s="56" t="s">
        <v>298</v>
      </c>
      <c r="C18" s="56" t="s">
        <v>149</v>
      </c>
      <c r="D18" s="47" t="s">
        <v>299</v>
      </c>
      <c r="E18" s="56" t="s">
        <v>154</v>
      </c>
      <c r="F18" s="57" t="s">
        <v>260</v>
      </c>
      <c r="G18" s="56"/>
      <c r="H18" s="56"/>
      <c r="I18" s="55" t="s">
        <v>35</v>
      </c>
      <c r="J18" s="57"/>
    </row>
    <row r="19" customFormat="false" ht="14.25" hidden="false" customHeight="true" outlineLevel="0" collapsed="false">
      <c r="A19" s="44" t="n">
        <v>15</v>
      </c>
      <c r="B19" s="53" t="s">
        <v>300</v>
      </c>
      <c r="C19" s="53" t="s">
        <v>149</v>
      </c>
      <c r="D19" s="44" t="s">
        <v>301</v>
      </c>
      <c r="E19" s="53" t="s">
        <v>162</v>
      </c>
      <c r="F19" s="54" t="s">
        <v>260</v>
      </c>
      <c r="G19" s="53"/>
      <c r="H19" s="53"/>
      <c r="I19" s="53"/>
      <c r="J19" s="54"/>
    </row>
    <row r="20" customFormat="false" ht="14.25" hidden="false" customHeight="true" outlineLevel="0" collapsed="false">
      <c r="A20" s="47" t="n">
        <v>16</v>
      </c>
      <c r="B20" s="56" t="s">
        <v>302</v>
      </c>
      <c r="C20" s="56" t="s">
        <v>149</v>
      </c>
      <c r="D20" s="47" t="s">
        <v>69</v>
      </c>
      <c r="E20" s="56" t="s">
        <v>271</v>
      </c>
      <c r="F20" s="57" t="s">
        <v>260</v>
      </c>
      <c r="G20" s="56"/>
      <c r="H20" s="56"/>
      <c r="I20" s="56"/>
      <c r="J20" s="57"/>
    </row>
    <row r="21" customFormat="false" ht="14.25" hidden="false" customHeight="true" outlineLevel="0" collapsed="false">
      <c r="A21" s="44" t="n">
        <v>17</v>
      </c>
      <c r="B21" s="53" t="s">
        <v>303</v>
      </c>
      <c r="C21" s="53" t="s">
        <v>304</v>
      </c>
      <c r="D21" s="44" t="s">
        <v>75</v>
      </c>
      <c r="E21" s="53" t="s">
        <v>195</v>
      </c>
      <c r="F21" s="54" t="s">
        <v>260</v>
      </c>
      <c r="G21" s="53"/>
      <c r="H21" s="53"/>
      <c r="I21" s="53"/>
      <c r="J21" s="54"/>
    </row>
    <row r="22" customFormat="false" ht="14.25" hidden="false" customHeight="true" outlineLevel="0" collapsed="false">
      <c r="A22" s="47" t="n">
        <v>18</v>
      </c>
      <c r="B22" s="56" t="s">
        <v>305</v>
      </c>
      <c r="C22" s="56" t="s">
        <v>306</v>
      </c>
      <c r="D22" s="47" t="s">
        <v>307</v>
      </c>
      <c r="E22" s="56" t="s">
        <v>162</v>
      </c>
      <c r="F22" s="57" t="s">
        <v>260</v>
      </c>
      <c r="G22" s="56"/>
      <c r="H22" s="56" t="s">
        <v>308</v>
      </c>
      <c r="I22" s="55" t="s">
        <v>35</v>
      </c>
      <c r="J22" s="57"/>
    </row>
    <row r="23" customFormat="false" ht="14.25" hidden="false" customHeight="true" outlineLevel="0" collapsed="false">
      <c r="A23" s="44" t="n">
        <v>19</v>
      </c>
      <c r="B23" s="53" t="s">
        <v>309</v>
      </c>
      <c r="C23" s="53" t="s">
        <v>149</v>
      </c>
      <c r="D23" s="44" t="s">
        <v>310</v>
      </c>
      <c r="E23" s="53" t="s">
        <v>271</v>
      </c>
      <c r="F23" s="54" t="s">
        <v>260</v>
      </c>
      <c r="G23" s="53"/>
      <c r="H23" s="53"/>
      <c r="I23" s="55" t="s">
        <v>35</v>
      </c>
      <c r="J23" s="54"/>
    </row>
    <row r="24" customFormat="false" ht="14.25" hidden="false" customHeight="true" outlineLevel="0" collapsed="false">
      <c r="A24" s="47" t="n">
        <v>20</v>
      </c>
      <c r="B24" s="56" t="s">
        <v>311</v>
      </c>
      <c r="C24" s="56" t="s">
        <v>149</v>
      </c>
      <c r="D24" s="47" t="s">
        <v>312</v>
      </c>
      <c r="E24" s="56" t="s">
        <v>313</v>
      </c>
      <c r="F24" s="57" t="s">
        <v>260</v>
      </c>
      <c r="G24" s="56"/>
      <c r="H24" s="56"/>
      <c r="I24" s="55" t="s">
        <v>35</v>
      </c>
      <c r="J24" s="57"/>
    </row>
    <row r="25" customFormat="false" ht="14.25" hidden="false" customHeight="true" outlineLevel="0" collapsed="false">
      <c r="A25" s="44" t="n">
        <v>21</v>
      </c>
      <c r="B25" s="53" t="s">
        <v>314</v>
      </c>
      <c r="C25" s="53" t="s">
        <v>315</v>
      </c>
      <c r="D25" s="44" t="s">
        <v>316</v>
      </c>
      <c r="E25" s="53" t="s">
        <v>154</v>
      </c>
      <c r="F25" s="54" t="s">
        <v>260</v>
      </c>
      <c r="G25" s="53"/>
      <c r="H25" s="53" t="s">
        <v>317</v>
      </c>
      <c r="I25" s="53"/>
      <c r="J25" s="54"/>
    </row>
    <row r="26" customFormat="false" ht="14.25" hidden="false" customHeight="true" outlineLevel="0" collapsed="false">
      <c r="A26" s="47" t="n">
        <v>22</v>
      </c>
      <c r="B26" s="56" t="s">
        <v>318</v>
      </c>
      <c r="C26" s="56" t="s">
        <v>319</v>
      </c>
      <c r="D26" s="47" t="s">
        <v>75</v>
      </c>
      <c r="E26" s="56" t="s">
        <v>320</v>
      </c>
      <c r="F26" s="57" t="s">
        <v>260</v>
      </c>
      <c r="G26" s="56"/>
      <c r="H26" s="56" t="s">
        <v>321</v>
      </c>
      <c r="I26" s="55" t="s">
        <v>322</v>
      </c>
      <c r="J26" s="57"/>
    </row>
    <row r="27" customFormat="false" ht="14.25" hidden="false" customHeight="true" outlineLevel="0" collapsed="false">
      <c r="A27" s="44" t="n">
        <v>23</v>
      </c>
      <c r="B27" s="53" t="s">
        <v>323</v>
      </c>
      <c r="C27" s="53" t="s">
        <v>285</v>
      </c>
      <c r="D27" s="44" t="s">
        <v>75</v>
      </c>
      <c r="E27" s="53" t="s">
        <v>192</v>
      </c>
      <c r="F27" s="54" t="s">
        <v>275</v>
      </c>
      <c r="G27" s="53"/>
      <c r="H27" s="53"/>
      <c r="I27" s="53"/>
      <c r="J27" s="54"/>
    </row>
    <row r="28" customFormat="false" ht="14.25" hidden="false" customHeight="true" outlineLevel="0" collapsed="false">
      <c r="A28" s="47" t="n">
        <v>24</v>
      </c>
      <c r="B28" s="56" t="s">
        <v>324</v>
      </c>
      <c r="C28" s="56" t="s">
        <v>285</v>
      </c>
      <c r="D28" s="47" t="s">
        <v>75</v>
      </c>
      <c r="E28" s="56" t="s">
        <v>325</v>
      </c>
      <c r="F28" s="57" t="s">
        <v>275</v>
      </c>
      <c r="G28" s="56"/>
      <c r="H28" s="56"/>
      <c r="I28" s="56"/>
      <c r="J28" s="57"/>
    </row>
    <row r="29" customFormat="false" ht="14.25" hidden="false" customHeight="true" outlineLevel="0" collapsed="false">
      <c r="A29" s="44" t="n">
        <v>25</v>
      </c>
      <c r="B29" s="53" t="s">
        <v>326</v>
      </c>
      <c r="C29" s="53" t="s">
        <v>285</v>
      </c>
      <c r="D29" s="44" t="s">
        <v>75</v>
      </c>
      <c r="E29" s="53" t="s">
        <v>192</v>
      </c>
      <c r="F29" s="54" t="s">
        <v>275</v>
      </c>
      <c r="G29" s="53"/>
      <c r="H29" s="53"/>
      <c r="I29" s="53"/>
      <c r="J29" s="54"/>
    </row>
    <row r="30" customFormat="false" ht="14.25" hidden="false" customHeight="true" outlineLevel="0" collapsed="false">
      <c r="A30" s="47" t="n">
        <v>26</v>
      </c>
      <c r="B30" s="56" t="s">
        <v>327</v>
      </c>
      <c r="C30" s="56" t="s">
        <v>328</v>
      </c>
      <c r="D30" s="47" t="s">
        <v>75</v>
      </c>
      <c r="E30" s="56" t="s">
        <v>192</v>
      </c>
      <c r="F30" s="57" t="s">
        <v>275</v>
      </c>
      <c r="G30" s="56"/>
      <c r="H30" s="56"/>
      <c r="I30" s="56"/>
      <c r="J30" s="57"/>
    </row>
    <row r="31" customFormat="false" ht="14.25" hidden="false" customHeight="true" outlineLevel="0" collapsed="false">
      <c r="A31" s="44" t="n">
        <v>27</v>
      </c>
      <c r="B31" s="53" t="s">
        <v>329</v>
      </c>
      <c r="C31" s="53" t="s">
        <v>285</v>
      </c>
      <c r="D31" s="44" t="s">
        <v>301</v>
      </c>
      <c r="E31" s="53" t="s">
        <v>154</v>
      </c>
      <c r="F31" s="54" t="s">
        <v>260</v>
      </c>
      <c r="G31" s="53"/>
      <c r="H31" s="53"/>
      <c r="I31" s="53"/>
      <c r="J31" s="54"/>
    </row>
    <row r="32" customFormat="false" ht="14.25" hidden="false" customHeight="true" outlineLevel="0" collapsed="false">
      <c r="A32" s="47" t="n">
        <v>28</v>
      </c>
      <c r="B32" s="56" t="s">
        <v>330</v>
      </c>
      <c r="C32" s="56" t="s">
        <v>331</v>
      </c>
      <c r="D32" s="47" t="s">
        <v>75</v>
      </c>
      <c r="E32" s="56" t="s">
        <v>332</v>
      </c>
      <c r="F32" s="57" t="s">
        <v>260</v>
      </c>
      <c r="G32" s="56"/>
      <c r="H32" s="56" t="s">
        <v>333</v>
      </c>
      <c r="I32" s="56"/>
      <c r="J32" s="57"/>
    </row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autoFilter ref="A4:J32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859C"/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2.6015625" defaultRowHeight="13.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10.5"/>
    <col collapsed="false" customWidth="true" hidden="false" outlineLevel="0" max="3" min="3" style="0" width="35"/>
    <col collapsed="false" customWidth="true" hidden="false" outlineLevel="0" max="4" min="4" style="0" width="22.79"/>
    <col collapsed="false" customWidth="true" hidden="false" outlineLevel="0" max="5" min="5" style="0" width="13.1"/>
    <col collapsed="false" customWidth="true" hidden="false" outlineLevel="0" max="6" min="6" style="0" width="19.2"/>
    <col collapsed="false" customWidth="true" hidden="false" outlineLevel="0" max="7" min="7" style="0" width="17.5"/>
    <col collapsed="false" customWidth="true" hidden="false" outlineLevel="0" max="8" min="8" style="0" width="19.2"/>
    <col collapsed="false" customWidth="true" hidden="false" outlineLevel="0" max="9" min="9" style="0" width="40.2"/>
    <col collapsed="false" customWidth="true" hidden="false" outlineLevel="0" max="10" min="10" style="0" width="28"/>
    <col collapsed="false" customWidth="true" hidden="false" outlineLevel="0" max="11" min="11" style="0" width="12.2"/>
  </cols>
  <sheetData>
    <row r="1" customFormat="false" ht="19.5" hidden="false" customHeight="true" outlineLevel="0" collapsed="false">
      <c r="A1" s="50" t="s">
        <v>334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false" ht="15" hidden="false" customHeight="true" outlineLevel="0" collapsed="false">
      <c r="A2" s="58" t="s">
        <v>335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customFormat="false" ht="14.25" hidden="false" customHeight="true" outlineLevel="0" collapsed="false"/>
    <row r="4" customFormat="false" ht="30" hidden="false" customHeight="true" outlineLevel="0" collapsed="false">
      <c r="A4" s="52" t="s">
        <v>51</v>
      </c>
      <c r="B4" s="52" t="s">
        <v>52</v>
      </c>
      <c r="C4" s="52" t="s">
        <v>53</v>
      </c>
      <c r="D4" s="52" t="s">
        <v>54</v>
      </c>
      <c r="E4" s="52" t="s">
        <v>55</v>
      </c>
      <c r="F4" s="52" t="s">
        <v>56</v>
      </c>
      <c r="G4" s="52" t="s">
        <v>57</v>
      </c>
      <c r="H4" s="52" t="s">
        <v>58</v>
      </c>
      <c r="I4" s="52" t="s">
        <v>59</v>
      </c>
      <c r="J4" s="52" t="s">
        <v>60</v>
      </c>
    </row>
    <row r="5" customFormat="false" ht="14.25" hidden="false" customHeight="true" outlineLevel="0" collapsed="false">
      <c r="A5" s="44" t="n">
        <v>1</v>
      </c>
      <c r="B5" s="53" t="s">
        <v>336</v>
      </c>
      <c r="C5" s="53" t="s">
        <v>337</v>
      </c>
      <c r="D5" s="44" t="s">
        <v>75</v>
      </c>
      <c r="E5" s="53" t="s">
        <v>338</v>
      </c>
      <c r="F5" s="54" t="s">
        <v>339</v>
      </c>
      <c r="G5" s="53"/>
      <c r="H5" s="53" t="s">
        <v>340</v>
      </c>
      <c r="I5" s="53"/>
      <c r="J5" s="54"/>
    </row>
    <row r="6" customFormat="false" ht="14.25" hidden="false" customHeight="true" outlineLevel="0" collapsed="false">
      <c r="A6" s="47" t="n">
        <v>2</v>
      </c>
      <c r="B6" s="56" t="s">
        <v>341</v>
      </c>
      <c r="C6" s="56" t="s">
        <v>342</v>
      </c>
      <c r="D6" s="47" t="s">
        <v>75</v>
      </c>
      <c r="E6" s="56" t="s">
        <v>343</v>
      </c>
      <c r="F6" s="57" t="s">
        <v>339</v>
      </c>
      <c r="G6" s="56"/>
      <c r="H6" s="56" t="s">
        <v>344</v>
      </c>
      <c r="I6" s="56"/>
      <c r="J6" s="57"/>
    </row>
    <row r="7" customFormat="false" ht="14.25" hidden="false" customHeight="true" outlineLevel="0" collapsed="false">
      <c r="A7" s="44" t="n">
        <v>3</v>
      </c>
      <c r="B7" s="53" t="s">
        <v>345</v>
      </c>
      <c r="C7" s="53" t="s">
        <v>346</v>
      </c>
      <c r="D7" s="44" t="s">
        <v>75</v>
      </c>
      <c r="E7" s="53" t="s">
        <v>347</v>
      </c>
      <c r="F7" s="54" t="s">
        <v>348</v>
      </c>
      <c r="G7" s="53"/>
      <c r="H7" s="53" t="s">
        <v>349</v>
      </c>
      <c r="I7" s="55" t="s">
        <v>45</v>
      </c>
      <c r="J7" s="54"/>
    </row>
    <row r="8" customFormat="false" ht="14.25" hidden="false" customHeight="true" outlineLevel="0" collapsed="false">
      <c r="A8" s="47" t="n">
        <v>4</v>
      </c>
      <c r="B8" s="56" t="s">
        <v>350</v>
      </c>
      <c r="C8" s="56" t="s">
        <v>351</v>
      </c>
      <c r="D8" s="47" t="s">
        <v>75</v>
      </c>
      <c r="E8" s="56" t="s">
        <v>352</v>
      </c>
      <c r="F8" s="57" t="s">
        <v>348</v>
      </c>
      <c r="G8" s="56"/>
      <c r="H8" s="56" t="s">
        <v>353</v>
      </c>
      <c r="I8" s="56"/>
      <c r="J8" s="57"/>
    </row>
    <row r="9" customFormat="false" ht="14.25" hidden="false" customHeight="true" outlineLevel="0" collapsed="false">
      <c r="A9" s="44" t="n">
        <v>5</v>
      </c>
      <c r="B9" s="53" t="s">
        <v>354</v>
      </c>
      <c r="C9" s="53" t="s">
        <v>355</v>
      </c>
      <c r="D9" s="44" t="s">
        <v>75</v>
      </c>
      <c r="E9" s="53" t="s">
        <v>356</v>
      </c>
      <c r="F9" s="54" t="s">
        <v>348</v>
      </c>
      <c r="G9" s="53"/>
      <c r="H9" s="53" t="s">
        <v>357</v>
      </c>
      <c r="I9" s="53"/>
      <c r="J9" s="54"/>
    </row>
    <row r="10" customFormat="false" ht="14.25" hidden="false" customHeight="true" outlineLevel="0" collapsed="false">
      <c r="A10" s="47" t="n">
        <v>6</v>
      </c>
      <c r="B10" s="56" t="s">
        <v>358</v>
      </c>
      <c r="C10" s="56" t="s">
        <v>359</v>
      </c>
      <c r="D10" s="47" t="s">
        <v>75</v>
      </c>
      <c r="E10" s="56" t="s">
        <v>360</v>
      </c>
      <c r="F10" s="57" t="s">
        <v>348</v>
      </c>
      <c r="G10" s="56"/>
      <c r="H10" s="56" t="s">
        <v>361</v>
      </c>
      <c r="I10" s="56"/>
      <c r="J10" s="57"/>
    </row>
    <row r="11" customFormat="false" ht="14.25" hidden="false" customHeight="true" outlineLevel="0" collapsed="false">
      <c r="A11" s="44" t="n">
        <v>7</v>
      </c>
      <c r="B11" s="53" t="s">
        <v>362</v>
      </c>
      <c r="C11" s="53" t="s">
        <v>363</v>
      </c>
      <c r="D11" s="44" t="s">
        <v>75</v>
      </c>
      <c r="E11" s="53" t="s">
        <v>364</v>
      </c>
      <c r="F11" s="54" t="s">
        <v>348</v>
      </c>
      <c r="G11" s="53"/>
      <c r="H11" s="53" t="s">
        <v>365</v>
      </c>
      <c r="I11" s="53"/>
      <c r="J11" s="54"/>
    </row>
    <row r="12" customFormat="false" ht="14.25" hidden="false" customHeight="true" outlineLevel="0" collapsed="false">
      <c r="A12" s="47" t="n">
        <v>8</v>
      </c>
      <c r="B12" s="56" t="s">
        <v>366</v>
      </c>
      <c r="C12" s="56" t="s">
        <v>149</v>
      </c>
      <c r="D12" s="47" t="s">
        <v>75</v>
      </c>
      <c r="E12" s="56" t="s">
        <v>192</v>
      </c>
      <c r="F12" s="57" t="s">
        <v>348</v>
      </c>
      <c r="G12" s="56"/>
      <c r="H12" s="56" t="s">
        <v>367</v>
      </c>
      <c r="I12" s="56"/>
      <c r="J12" s="57"/>
    </row>
    <row r="13" customFormat="false" ht="14.25" hidden="false" customHeight="true" outlineLevel="0" collapsed="false">
      <c r="A13" s="44" t="n">
        <v>9</v>
      </c>
      <c r="B13" s="53" t="s">
        <v>368</v>
      </c>
      <c r="C13" s="53" t="s">
        <v>263</v>
      </c>
      <c r="D13" s="44" t="s">
        <v>75</v>
      </c>
      <c r="E13" s="53" t="s">
        <v>192</v>
      </c>
      <c r="F13" s="54" t="s">
        <v>369</v>
      </c>
      <c r="G13" s="53"/>
      <c r="H13" s="53" t="s">
        <v>370</v>
      </c>
      <c r="I13" s="53"/>
      <c r="J13" s="54"/>
    </row>
    <row r="14" customFormat="false" ht="14.25" hidden="false" customHeight="true" outlineLevel="0" collapsed="false">
      <c r="A14" s="47" t="n">
        <v>10</v>
      </c>
      <c r="B14" s="56" t="s">
        <v>371</v>
      </c>
      <c r="C14" s="56" t="s">
        <v>263</v>
      </c>
      <c r="D14" s="47" t="s">
        <v>75</v>
      </c>
      <c r="E14" s="56" t="s">
        <v>192</v>
      </c>
      <c r="F14" s="57" t="s">
        <v>369</v>
      </c>
      <c r="G14" s="56"/>
      <c r="H14" s="56" t="s">
        <v>372</v>
      </c>
      <c r="I14" s="55" t="s">
        <v>43</v>
      </c>
      <c r="J14" s="57"/>
    </row>
    <row r="15" customFormat="false" ht="14.25" hidden="false" customHeight="true" outlineLevel="0" collapsed="false">
      <c r="A15" s="44" t="n">
        <v>11</v>
      </c>
      <c r="B15" s="53" t="s">
        <v>373</v>
      </c>
      <c r="C15" s="53" t="s">
        <v>263</v>
      </c>
      <c r="D15" s="44" t="s">
        <v>75</v>
      </c>
      <c r="E15" s="53" t="s">
        <v>195</v>
      </c>
      <c r="F15" s="54" t="s">
        <v>369</v>
      </c>
      <c r="G15" s="53"/>
      <c r="H15" s="53" t="s">
        <v>374</v>
      </c>
      <c r="I15" s="55" t="s">
        <v>37</v>
      </c>
      <c r="J15" s="54"/>
    </row>
    <row r="16" customFormat="false" ht="14.25" hidden="false" customHeight="true" outlineLevel="0" collapsed="false">
      <c r="A16" s="47" t="n">
        <v>12</v>
      </c>
      <c r="B16" s="56" t="s">
        <v>375</v>
      </c>
      <c r="C16" s="56" t="s">
        <v>149</v>
      </c>
      <c r="D16" s="47" t="s">
        <v>75</v>
      </c>
      <c r="E16" s="56" t="s">
        <v>376</v>
      </c>
      <c r="F16" s="57" t="s">
        <v>377</v>
      </c>
      <c r="G16" s="56"/>
      <c r="H16" s="56"/>
      <c r="I16" s="56"/>
      <c r="J16" s="57"/>
    </row>
    <row r="17" customFormat="false" ht="14.25" hidden="false" customHeight="true" outlineLevel="0" collapsed="false">
      <c r="A17" s="44" t="n">
        <v>13</v>
      </c>
      <c r="B17" s="53" t="s">
        <v>378</v>
      </c>
      <c r="C17" s="53" t="s">
        <v>379</v>
      </c>
      <c r="D17" s="44" t="s">
        <v>75</v>
      </c>
      <c r="E17" s="53" t="s">
        <v>70</v>
      </c>
      <c r="F17" s="54" t="s">
        <v>377</v>
      </c>
      <c r="G17" s="53"/>
      <c r="H17" s="53"/>
      <c r="I17" s="53"/>
      <c r="J17" s="54"/>
    </row>
    <row r="18" customFormat="false" ht="14.25" hidden="false" customHeight="true" outlineLevel="0" collapsed="false">
      <c r="A18" s="47" t="n">
        <v>14</v>
      </c>
      <c r="B18" s="56" t="s">
        <v>380</v>
      </c>
      <c r="C18" s="56" t="s">
        <v>381</v>
      </c>
      <c r="D18" s="47" t="s">
        <v>69</v>
      </c>
      <c r="E18" s="56" t="s">
        <v>70</v>
      </c>
      <c r="F18" s="57" t="s">
        <v>377</v>
      </c>
      <c r="G18" s="56"/>
      <c r="H18" s="56" t="s">
        <v>382</v>
      </c>
      <c r="I18" s="56"/>
      <c r="J18" s="57"/>
    </row>
    <row r="19" customFormat="false" ht="14.25" hidden="false" customHeight="true" outlineLevel="0" collapsed="false">
      <c r="A19" s="44" t="n">
        <v>15</v>
      </c>
      <c r="B19" s="53" t="s">
        <v>383</v>
      </c>
      <c r="C19" s="53" t="s">
        <v>149</v>
      </c>
      <c r="D19" s="44" t="s">
        <v>75</v>
      </c>
      <c r="E19" s="53" t="s">
        <v>192</v>
      </c>
      <c r="F19" s="54" t="s">
        <v>377</v>
      </c>
      <c r="G19" s="53"/>
      <c r="H19" s="53" t="s">
        <v>384</v>
      </c>
      <c r="I19" s="53"/>
      <c r="J19" s="54"/>
    </row>
    <row r="20" customFormat="false" ht="14.25" hidden="false" customHeight="true" outlineLevel="0" collapsed="false">
      <c r="A20" s="47" t="n">
        <v>16</v>
      </c>
      <c r="B20" s="56" t="s">
        <v>385</v>
      </c>
      <c r="C20" s="56" t="s">
        <v>149</v>
      </c>
      <c r="D20" s="47" t="s">
        <v>75</v>
      </c>
      <c r="E20" s="56" t="s">
        <v>192</v>
      </c>
      <c r="F20" s="57" t="s">
        <v>377</v>
      </c>
      <c r="G20" s="56"/>
      <c r="H20" s="56" t="s">
        <v>386</v>
      </c>
      <c r="I20" s="56"/>
      <c r="J20" s="57"/>
    </row>
    <row r="21" customFormat="false" ht="14.25" hidden="false" customHeight="true" outlineLevel="0" collapsed="false">
      <c r="A21" s="44" t="n">
        <v>17</v>
      </c>
      <c r="B21" s="53" t="s">
        <v>387</v>
      </c>
      <c r="C21" s="53" t="s">
        <v>388</v>
      </c>
      <c r="D21" s="44" t="s">
        <v>75</v>
      </c>
      <c r="E21" s="53" t="s">
        <v>70</v>
      </c>
      <c r="F21" s="54" t="s">
        <v>377</v>
      </c>
      <c r="G21" s="53"/>
      <c r="H21" s="53" t="s">
        <v>389</v>
      </c>
      <c r="I21" s="53"/>
      <c r="J21" s="54"/>
    </row>
    <row r="22" customFormat="false" ht="14.25" hidden="false" customHeight="true" outlineLevel="0" collapsed="false">
      <c r="A22" s="47" t="n">
        <v>18</v>
      </c>
      <c r="B22" s="56" t="s">
        <v>390</v>
      </c>
      <c r="C22" s="56" t="s">
        <v>391</v>
      </c>
      <c r="D22" s="47" t="s">
        <v>75</v>
      </c>
      <c r="E22" s="56" t="s">
        <v>392</v>
      </c>
      <c r="F22" s="57" t="s">
        <v>393</v>
      </c>
      <c r="G22" s="56"/>
      <c r="H22" s="56" t="s">
        <v>394</v>
      </c>
      <c r="I22" s="56"/>
      <c r="J22" s="57"/>
    </row>
    <row r="23" customFormat="false" ht="14.25" hidden="false" customHeight="true" outlineLevel="0" collapsed="false">
      <c r="A23" s="44" t="n">
        <v>19</v>
      </c>
      <c r="B23" s="53" t="s">
        <v>390</v>
      </c>
      <c r="C23" s="53" t="s">
        <v>395</v>
      </c>
      <c r="D23" s="44" t="s">
        <v>75</v>
      </c>
      <c r="E23" s="53" t="s">
        <v>396</v>
      </c>
      <c r="F23" s="54" t="s">
        <v>393</v>
      </c>
      <c r="G23" s="53"/>
      <c r="H23" s="53" t="s">
        <v>397</v>
      </c>
      <c r="I23" s="55" t="s">
        <v>39</v>
      </c>
      <c r="J23" s="54"/>
    </row>
    <row r="24" customFormat="false" ht="14.25" hidden="false" customHeight="true" outlineLevel="0" collapsed="false">
      <c r="A24" s="47" t="n">
        <v>20</v>
      </c>
      <c r="B24" s="56" t="s">
        <v>398</v>
      </c>
      <c r="C24" s="56" t="s">
        <v>149</v>
      </c>
      <c r="D24" s="47" t="s">
        <v>75</v>
      </c>
      <c r="E24" s="56" t="s">
        <v>399</v>
      </c>
      <c r="F24" s="57" t="s">
        <v>400</v>
      </c>
      <c r="G24" s="56"/>
      <c r="H24" s="56" t="s">
        <v>401</v>
      </c>
      <c r="I24" s="55" t="s">
        <v>45</v>
      </c>
      <c r="J24" s="57"/>
    </row>
    <row r="25" customFormat="false" ht="14.25" hidden="false" customHeight="true" outlineLevel="0" collapsed="false">
      <c r="A25" s="44" t="n">
        <v>21</v>
      </c>
      <c r="B25" s="53" t="s">
        <v>402</v>
      </c>
      <c r="C25" s="53" t="s">
        <v>403</v>
      </c>
      <c r="D25" s="44" t="s">
        <v>75</v>
      </c>
      <c r="E25" s="53" t="s">
        <v>404</v>
      </c>
      <c r="F25" s="54" t="s">
        <v>400</v>
      </c>
      <c r="G25" s="53"/>
      <c r="H25" s="53" t="s">
        <v>405</v>
      </c>
      <c r="I25" s="53"/>
      <c r="J25" s="54"/>
    </row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autoFilter ref="A4:J25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2.6015625" defaultRowHeight="13.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10.5"/>
    <col collapsed="false" customWidth="true" hidden="false" outlineLevel="0" max="3" min="3" style="0" width="35"/>
    <col collapsed="false" customWidth="true" hidden="false" outlineLevel="0" max="4" min="4" style="0" width="22.79"/>
    <col collapsed="false" customWidth="true" hidden="false" outlineLevel="0" max="5" min="5" style="0" width="13.1"/>
    <col collapsed="false" customWidth="true" hidden="false" outlineLevel="0" max="6" min="6" style="0" width="19.2"/>
    <col collapsed="false" customWidth="true" hidden="false" outlineLevel="0" max="7" min="7" style="0" width="17.5"/>
    <col collapsed="false" customWidth="true" hidden="false" outlineLevel="0" max="8" min="8" style="0" width="19.2"/>
    <col collapsed="false" customWidth="true" hidden="false" outlineLevel="0" max="9" min="9" style="0" width="40.2"/>
    <col collapsed="false" customWidth="true" hidden="false" outlineLevel="0" max="10" min="10" style="0" width="28"/>
    <col collapsed="false" customWidth="true" hidden="false" outlineLevel="0" max="11" min="11" style="0" width="12.2"/>
  </cols>
  <sheetData>
    <row r="1" customFormat="false" ht="19.5" hidden="false" customHeight="true" outlineLevel="0" collapsed="false">
      <c r="A1" s="50" t="s">
        <v>406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false" ht="15" hidden="false" customHeight="true" outlineLevel="0" collapsed="false">
      <c r="A2" s="58" t="s">
        <v>407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customFormat="false" ht="14.25" hidden="false" customHeight="true" outlineLevel="0" collapsed="false"/>
    <row r="4" customFormat="false" ht="30" hidden="false" customHeight="true" outlineLevel="0" collapsed="false">
      <c r="A4" s="52" t="s">
        <v>51</v>
      </c>
      <c r="B4" s="52" t="s">
        <v>52</v>
      </c>
      <c r="C4" s="52" t="s">
        <v>53</v>
      </c>
      <c r="D4" s="52" t="s">
        <v>54</v>
      </c>
      <c r="E4" s="52" t="s">
        <v>55</v>
      </c>
      <c r="F4" s="52" t="s">
        <v>56</v>
      </c>
      <c r="G4" s="52" t="s">
        <v>57</v>
      </c>
      <c r="H4" s="52" t="s">
        <v>58</v>
      </c>
      <c r="I4" s="52" t="s">
        <v>59</v>
      </c>
      <c r="J4" s="52" t="s">
        <v>60</v>
      </c>
    </row>
    <row r="5" customFormat="false" ht="14.25" hidden="false" customHeight="true" outlineLevel="0" collapsed="false">
      <c r="A5" s="44" t="n">
        <v>1</v>
      </c>
      <c r="B5" s="53" t="s">
        <v>408</v>
      </c>
      <c r="C5" s="53" t="s">
        <v>149</v>
      </c>
      <c r="D5" s="44" t="s">
        <v>75</v>
      </c>
      <c r="E5" s="53" t="s">
        <v>409</v>
      </c>
      <c r="F5" s="54" t="s">
        <v>339</v>
      </c>
      <c r="G5" s="53"/>
      <c r="H5" s="53" t="s">
        <v>410</v>
      </c>
      <c r="I5" s="53"/>
      <c r="J5" s="54"/>
    </row>
    <row r="6" customFormat="false" ht="14.25" hidden="false" customHeight="true" outlineLevel="0" collapsed="false">
      <c r="A6" s="47" t="n">
        <v>2</v>
      </c>
      <c r="B6" s="56" t="s">
        <v>411</v>
      </c>
      <c r="C6" s="56" t="s">
        <v>412</v>
      </c>
      <c r="D6" s="47" t="s">
        <v>69</v>
      </c>
      <c r="E6" s="56" t="s">
        <v>413</v>
      </c>
      <c r="F6" s="57" t="s">
        <v>339</v>
      </c>
      <c r="G6" s="56"/>
      <c r="H6" s="56" t="s">
        <v>414</v>
      </c>
      <c r="I6" s="55" t="s">
        <v>37</v>
      </c>
      <c r="J6" s="57"/>
    </row>
    <row r="7" customFormat="false" ht="14.25" hidden="false" customHeight="true" outlineLevel="0" collapsed="false">
      <c r="A7" s="44" t="n">
        <v>3</v>
      </c>
      <c r="B7" s="53" t="s">
        <v>415</v>
      </c>
      <c r="C7" s="53" t="s">
        <v>149</v>
      </c>
      <c r="D7" s="44" t="s">
        <v>75</v>
      </c>
      <c r="E7" s="53" t="s">
        <v>416</v>
      </c>
      <c r="F7" s="54" t="s">
        <v>339</v>
      </c>
      <c r="G7" s="53"/>
      <c r="H7" s="53" t="s">
        <v>417</v>
      </c>
      <c r="I7" s="55" t="s">
        <v>39</v>
      </c>
      <c r="J7" s="54"/>
    </row>
    <row r="8" customFormat="false" ht="14.25" hidden="false" customHeight="true" outlineLevel="0" collapsed="false">
      <c r="A8" s="47" t="n">
        <v>4</v>
      </c>
      <c r="B8" s="56" t="s">
        <v>418</v>
      </c>
      <c r="C8" s="56" t="s">
        <v>149</v>
      </c>
      <c r="D8" s="47" t="s">
        <v>419</v>
      </c>
      <c r="E8" s="56" t="s">
        <v>99</v>
      </c>
      <c r="F8" s="57" t="s">
        <v>339</v>
      </c>
      <c r="G8" s="56"/>
      <c r="H8" s="56" t="s">
        <v>420</v>
      </c>
      <c r="I8" s="55" t="s">
        <v>35</v>
      </c>
      <c r="J8" s="57"/>
    </row>
    <row r="9" customFormat="false" ht="14.25" hidden="false" customHeight="true" outlineLevel="0" collapsed="false">
      <c r="A9" s="44" t="n">
        <v>5</v>
      </c>
      <c r="B9" s="53" t="s">
        <v>421</v>
      </c>
      <c r="C9" s="53" t="s">
        <v>149</v>
      </c>
      <c r="D9" s="44" t="s">
        <v>419</v>
      </c>
      <c r="E9" s="53" t="s">
        <v>422</v>
      </c>
      <c r="F9" s="54" t="s">
        <v>339</v>
      </c>
      <c r="G9" s="53"/>
      <c r="H9" s="53" t="s">
        <v>423</v>
      </c>
      <c r="I9" s="55" t="s">
        <v>67</v>
      </c>
      <c r="J9" s="54"/>
    </row>
    <row r="10" customFormat="false" ht="14.25" hidden="false" customHeight="true" outlineLevel="0" collapsed="false">
      <c r="A10" s="47" t="n">
        <v>6</v>
      </c>
      <c r="B10" s="56" t="s">
        <v>424</v>
      </c>
      <c r="C10" s="56" t="s">
        <v>149</v>
      </c>
      <c r="D10" s="47" t="s">
        <v>69</v>
      </c>
      <c r="E10" s="56" t="s">
        <v>162</v>
      </c>
      <c r="F10" s="57" t="s">
        <v>425</v>
      </c>
      <c r="G10" s="56"/>
      <c r="H10" s="56" t="s">
        <v>426</v>
      </c>
      <c r="I10" s="56"/>
      <c r="J10" s="57"/>
    </row>
    <row r="11" customFormat="false" ht="14.25" hidden="false" customHeight="true" outlineLevel="0" collapsed="false">
      <c r="A11" s="44" t="n">
        <v>7</v>
      </c>
      <c r="B11" s="53" t="s">
        <v>427</v>
      </c>
      <c r="C11" s="53" t="s">
        <v>149</v>
      </c>
      <c r="D11" s="44" t="s">
        <v>75</v>
      </c>
      <c r="E11" s="53" t="s">
        <v>195</v>
      </c>
      <c r="F11" s="54" t="s">
        <v>425</v>
      </c>
      <c r="G11" s="53"/>
      <c r="H11" s="53" t="s">
        <v>428</v>
      </c>
      <c r="I11" s="55" t="s">
        <v>39</v>
      </c>
      <c r="J11" s="54"/>
    </row>
    <row r="12" customFormat="false" ht="14.25" hidden="false" customHeight="true" outlineLevel="0" collapsed="false">
      <c r="A12" s="47" t="n">
        <v>8</v>
      </c>
      <c r="B12" s="56" t="s">
        <v>429</v>
      </c>
      <c r="C12" s="56" t="s">
        <v>149</v>
      </c>
      <c r="D12" s="47" t="s">
        <v>75</v>
      </c>
      <c r="E12" s="56" t="s">
        <v>195</v>
      </c>
      <c r="F12" s="57" t="s">
        <v>339</v>
      </c>
      <c r="G12" s="56"/>
      <c r="H12" s="56" t="s">
        <v>430</v>
      </c>
      <c r="I12" s="56"/>
      <c r="J12" s="57"/>
    </row>
    <row r="13" customFormat="false" ht="14.25" hidden="false" customHeight="true" outlineLevel="0" collapsed="false">
      <c r="A13" s="44" t="n">
        <v>9</v>
      </c>
      <c r="B13" s="53" t="s">
        <v>431</v>
      </c>
      <c r="C13" s="53" t="s">
        <v>149</v>
      </c>
      <c r="D13" s="44" t="s">
        <v>432</v>
      </c>
      <c r="E13" s="53" t="s">
        <v>99</v>
      </c>
      <c r="F13" s="54" t="s">
        <v>377</v>
      </c>
      <c r="G13" s="53"/>
      <c r="H13" s="53" t="s">
        <v>433</v>
      </c>
      <c r="I13" s="55" t="s">
        <v>35</v>
      </c>
      <c r="J13" s="54"/>
    </row>
    <row r="14" customFormat="false" ht="14.25" hidden="false" customHeight="true" outlineLevel="0" collapsed="false">
      <c r="A14" s="47" t="n">
        <v>10</v>
      </c>
      <c r="B14" s="56" t="s">
        <v>434</v>
      </c>
      <c r="C14" s="56" t="s">
        <v>435</v>
      </c>
      <c r="D14" s="47" t="s">
        <v>436</v>
      </c>
      <c r="E14" s="56" t="s">
        <v>437</v>
      </c>
      <c r="F14" s="57" t="s">
        <v>377</v>
      </c>
      <c r="G14" s="56"/>
      <c r="H14" s="56"/>
      <c r="I14" s="56"/>
      <c r="J14" s="57"/>
    </row>
    <row r="15" customFormat="false" ht="14.25" hidden="false" customHeight="true" outlineLevel="0" collapsed="false">
      <c r="A15" s="44" t="n">
        <v>11</v>
      </c>
      <c r="B15" s="53" t="s">
        <v>438</v>
      </c>
      <c r="C15" s="53" t="s">
        <v>439</v>
      </c>
      <c r="D15" s="44" t="s">
        <v>186</v>
      </c>
      <c r="E15" s="53" t="s">
        <v>80</v>
      </c>
      <c r="F15" s="54" t="s">
        <v>393</v>
      </c>
      <c r="G15" s="53"/>
      <c r="H15" s="53"/>
      <c r="I15" s="53"/>
      <c r="J15" s="54"/>
    </row>
    <row r="16" customFormat="false" ht="14.25" hidden="false" customHeight="true" outlineLevel="0" collapsed="false">
      <c r="A16" s="47" t="n">
        <v>12</v>
      </c>
      <c r="B16" s="56" t="s">
        <v>440</v>
      </c>
      <c r="C16" s="56" t="s">
        <v>441</v>
      </c>
      <c r="D16" s="47" t="s">
        <v>442</v>
      </c>
      <c r="E16" s="56" t="s">
        <v>443</v>
      </c>
      <c r="F16" s="57" t="s">
        <v>14</v>
      </c>
      <c r="G16" s="56"/>
      <c r="H16" s="56"/>
      <c r="I16" s="56"/>
      <c r="J16" s="57"/>
    </row>
    <row r="17" customFormat="false" ht="14.25" hidden="false" customHeight="true" outlineLevel="0" collapsed="false">
      <c r="A17" s="44" t="n">
        <v>13</v>
      </c>
      <c r="B17" s="53" t="s">
        <v>444</v>
      </c>
      <c r="C17" s="53" t="s">
        <v>285</v>
      </c>
      <c r="D17" s="44" t="s">
        <v>442</v>
      </c>
      <c r="E17" s="53" t="s">
        <v>443</v>
      </c>
      <c r="F17" s="54" t="s">
        <v>14</v>
      </c>
      <c r="G17" s="53"/>
      <c r="H17" s="53"/>
      <c r="I17" s="53"/>
      <c r="J17" s="54"/>
    </row>
    <row r="18" customFormat="false" ht="14.25" hidden="false" customHeight="true" outlineLevel="0" collapsed="false">
      <c r="A18" s="47" t="n">
        <v>14</v>
      </c>
      <c r="B18" s="56" t="s">
        <v>445</v>
      </c>
      <c r="C18" s="56" t="s">
        <v>149</v>
      </c>
      <c r="D18" s="47" t="s">
        <v>446</v>
      </c>
      <c r="E18" s="56" t="s">
        <v>437</v>
      </c>
      <c r="F18" s="57" t="s">
        <v>14</v>
      </c>
      <c r="G18" s="56"/>
      <c r="H18" s="56"/>
      <c r="I18" s="56"/>
      <c r="J18" s="57"/>
    </row>
    <row r="19" customFormat="false" ht="14.25" hidden="false" customHeight="true" outlineLevel="0" collapsed="false">
      <c r="A19" s="44" t="n">
        <v>15</v>
      </c>
      <c r="B19" s="53" t="s">
        <v>447</v>
      </c>
      <c r="C19" s="53" t="s">
        <v>149</v>
      </c>
      <c r="D19" s="44" t="s">
        <v>75</v>
      </c>
      <c r="E19" s="53" t="s">
        <v>195</v>
      </c>
      <c r="F19" s="54" t="s">
        <v>14</v>
      </c>
      <c r="G19" s="53"/>
      <c r="H19" s="53"/>
      <c r="I19" s="53"/>
      <c r="J19" s="54"/>
    </row>
    <row r="20" customFormat="false" ht="14.25" hidden="false" customHeight="true" outlineLevel="0" collapsed="false">
      <c r="A20" s="47" t="n">
        <v>16</v>
      </c>
      <c r="B20" s="56" t="s">
        <v>448</v>
      </c>
      <c r="C20" s="56" t="s">
        <v>285</v>
      </c>
      <c r="D20" s="47" t="s">
        <v>449</v>
      </c>
      <c r="E20" s="56" t="s">
        <v>107</v>
      </c>
      <c r="F20" s="57" t="s">
        <v>14</v>
      </c>
      <c r="G20" s="56"/>
      <c r="H20" s="56" t="s">
        <v>450</v>
      </c>
      <c r="I20" s="56"/>
      <c r="J20" s="57"/>
    </row>
    <row r="21" customFormat="false" ht="14.25" hidden="false" customHeight="true" outlineLevel="0" collapsed="false">
      <c r="A21" s="44" t="n">
        <v>17</v>
      </c>
      <c r="B21" s="53" t="s">
        <v>451</v>
      </c>
      <c r="C21" s="53" t="s">
        <v>149</v>
      </c>
      <c r="D21" s="44" t="s">
        <v>446</v>
      </c>
      <c r="E21" s="53" t="s">
        <v>80</v>
      </c>
      <c r="F21" s="54" t="s">
        <v>14</v>
      </c>
      <c r="G21" s="53"/>
      <c r="H21" s="53"/>
      <c r="I21" s="53"/>
      <c r="J21" s="54"/>
    </row>
    <row r="22" customFormat="false" ht="14.25" hidden="false" customHeight="true" outlineLevel="0" collapsed="false">
      <c r="A22" s="47" t="n">
        <v>18</v>
      </c>
      <c r="B22" s="56" t="s">
        <v>452</v>
      </c>
      <c r="C22" s="56" t="s">
        <v>149</v>
      </c>
      <c r="D22" s="47" t="s">
        <v>124</v>
      </c>
      <c r="E22" s="56" t="s">
        <v>154</v>
      </c>
      <c r="F22" s="57" t="s">
        <v>425</v>
      </c>
      <c r="G22" s="56"/>
      <c r="H22" s="56"/>
      <c r="I22" s="56"/>
      <c r="J22" s="57"/>
    </row>
    <row r="23" customFormat="false" ht="14.25" hidden="false" customHeight="true" outlineLevel="0" collapsed="false">
      <c r="A23" s="44" t="n">
        <v>19</v>
      </c>
      <c r="B23" s="53" t="s">
        <v>453</v>
      </c>
      <c r="C23" s="53" t="s">
        <v>149</v>
      </c>
      <c r="D23" s="44" t="s">
        <v>454</v>
      </c>
      <c r="E23" s="53" t="s">
        <v>162</v>
      </c>
      <c r="F23" s="54" t="s">
        <v>425</v>
      </c>
      <c r="G23" s="53"/>
      <c r="H23" s="53" t="s">
        <v>455</v>
      </c>
      <c r="I23" s="53"/>
      <c r="J23" s="54"/>
    </row>
    <row r="24" customFormat="false" ht="14.25" hidden="false" customHeight="true" outlineLevel="0" collapsed="false">
      <c r="A24" s="47" t="n">
        <v>20</v>
      </c>
      <c r="B24" s="56" t="s">
        <v>456</v>
      </c>
      <c r="C24" s="56" t="s">
        <v>457</v>
      </c>
      <c r="D24" s="47" t="s">
        <v>432</v>
      </c>
      <c r="E24" s="56" t="s">
        <v>458</v>
      </c>
      <c r="F24" s="57" t="s">
        <v>14</v>
      </c>
      <c r="G24" s="56"/>
      <c r="H24" s="56" t="s">
        <v>459</v>
      </c>
      <c r="I24" s="55" t="s">
        <v>35</v>
      </c>
      <c r="J24" s="57"/>
    </row>
    <row r="25" customFormat="false" ht="14.25" hidden="false" customHeight="true" outlineLevel="0" collapsed="false">
      <c r="A25" s="44" t="n">
        <v>21</v>
      </c>
      <c r="B25" s="53" t="s">
        <v>460</v>
      </c>
      <c r="C25" s="53" t="s">
        <v>461</v>
      </c>
      <c r="D25" s="44" t="s">
        <v>462</v>
      </c>
      <c r="E25" s="53" t="s">
        <v>99</v>
      </c>
      <c r="F25" s="54" t="s">
        <v>14</v>
      </c>
      <c r="G25" s="53"/>
      <c r="H25" s="53" t="s">
        <v>317</v>
      </c>
      <c r="I25" s="53"/>
      <c r="J25" s="54"/>
    </row>
    <row r="26" customFormat="false" ht="14.25" hidden="false" customHeight="true" outlineLevel="0" collapsed="false">
      <c r="A26" s="47" t="n">
        <v>22</v>
      </c>
      <c r="B26" s="56" t="s">
        <v>463</v>
      </c>
      <c r="C26" s="56" t="s">
        <v>464</v>
      </c>
      <c r="D26" s="47" t="s">
        <v>462</v>
      </c>
      <c r="E26" s="56" t="s">
        <v>99</v>
      </c>
      <c r="F26" s="57" t="s">
        <v>14</v>
      </c>
      <c r="G26" s="56"/>
      <c r="H26" s="56" t="s">
        <v>317</v>
      </c>
      <c r="I26" s="56"/>
      <c r="J26" s="57"/>
    </row>
    <row r="27" customFormat="false" ht="14.25" hidden="false" customHeight="true" outlineLevel="0" collapsed="false">
      <c r="A27" s="44" t="n">
        <v>23</v>
      </c>
      <c r="B27" s="53" t="s">
        <v>465</v>
      </c>
      <c r="C27" s="53" t="s">
        <v>466</v>
      </c>
      <c r="D27" s="44" t="s">
        <v>467</v>
      </c>
      <c r="E27" s="53" t="s">
        <v>107</v>
      </c>
      <c r="F27" s="54" t="s">
        <v>14</v>
      </c>
      <c r="G27" s="53"/>
      <c r="H27" s="53" t="s">
        <v>297</v>
      </c>
      <c r="I27" s="53"/>
      <c r="J27" s="54"/>
    </row>
    <row r="28" customFormat="false" ht="14.25" hidden="false" customHeight="true" outlineLevel="0" collapsed="false">
      <c r="A28" s="47" t="n">
        <v>24</v>
      </c>
      <c r="B28" s="56" t="s">
        <v>468</v>
      </c>
      <c r="C28" s="56" t="s">
        <v>469</v>
      </c>
      <c r="D28" s="47" t="s">
        <v>462</v>
      </c>
      <c r="E28" s="56" t="s">
        <v>99</v>
      </c>
      <c r="F28" s="57" t="s">
        <v>14</v>
      </c>
      <c r="G28" s="56"/>
      <c r="H28" s="56" t="s">
        <v>470</v>
      </c>
      <c r="I28" s="56"/>
      <c r="J28" s="57"/>
    </row>
    <row r="29" customFormat="false" ht="14.25" hidden="false" customHeight="true" outlineLevel="0" collapsed="false">
      <c r="A29" s="44" t="n">
        <v>25</v>
      </c>
      <c r="B29" s="53" t="s">
        <v>471</v>
      </c>
      <c r="C29" s="53" t="s">
        <v>149</v>
      </c>
      <c r="D29" s="44" t="s">
        <v>75</v>
      </c>
      <c r="E29" s="53" t="s">
        <v>433</v>
      </c>
      <c r="F29" s="54" t="s">
        <v>393</v>
      </c>
      <c r="G29" s="53"/>
      <c r="H29" s="53" t="s">
        <v>472</v>
      </c>
      <c r="I29" s="55" t="s">
        <v>37</v>
      </c>
      <c r="J29" s="54"/>
    </row>
    <row r="30" customFormat="false" ht="14.25" hidden="false" customHeight="true" outlineLevel="0" collapsed="false">
      <c r="A30" s="47" t="n">
        <v>26</v>
      </c>
      <c r="B30" s="56" t="s">
        <v>473</v>
      </c>
      <c r="C30" s="56" t="s">
        <v>474</v>
      </c>
      <c r="D30" s="47" t="s">
        <v>75</v>
      </c>
      <c r="E30" s="56" t="s">
        <v>475</v>
      </c>
      <c r="F30" s="57" t="s">
        <v>393</v>
      </c>
      <c r="G30" s="56"/>
      <c r="H30" s="56"/>
      <c r="I30" s="56"/>
      <c r="J30" s="57"/>
    </row>
    <row r="31" customFormat="false" ht="14.25" hidden="false" customHeight="true" outlineLevel="0" collapsed="false">
      <c r="A31" s="44" t="n">
        <v>27</v>
      </c>
      <c r="B31" s="53" t="s">
        <v>476</v>
      </c>
      <c r="C31" s="53" t="s">
        <v>477</v>
      </c>
      <c r="D31" s="44" t="s">
        <v>478</v>
      </c>
      <c r="E31" s="53" t="s">
        <v>107</v>
      </c>
      <c r="F31" s="54" t="s">
        <v>377</v>
      </c>
      <c r="G31" s="53"/>
      <c r="H31" s="53"/>
      <c r="I31" s="53"/>
      <c r="J31" s="54"/>
    </row>
    <row r="32" customFormat="false" ht="14.25" hidden="false" customHeight="true" outlineLevel="0" collapsed="false">
      <c r="A32" s="47" t="n">
        <v>28</v>
      </c>
      <c r="B32" s="56" t="s">
        <v>479</v>
      </c>
      <c r="C32" s="56" t="s">
        <v>480</v>
      </c>
      <c r="D32" s="47" t="s">
        <v>186</v>
      </c>
      <c r="E32" s="56" t="s">
        <v>254</v>
      </c>
      <c r="F32" s="57" t="s">
        <v>481</v>
      </c>
      <c r="G32" s="56"/>
      <c r="H32" s="56"/>
      <c r="I32" s="56"/>
      <c r="J32" s="57"/>
    </row>
    <row r="33" customFormat="false" ht="14.25" hidden="false" customHeight="true" outlineLevel="0" collapsed="false">
      <c r="A33" s="44" t="n">
        <v>29</v>
      </c>
      <c r="B33" s="53" t="s">
        <v>482</v>
      </c>
      <c r="C33" s="53" t="s">
        <v>149</v>
      </c>
      <c r="D33" s="44" t="s">
        <v>483</v>
      </c>
      <c r="E33" s="53" t="s">
        <v>154</v>
      </c>
      <c r="F33" s="54" t="s">
        <v>481</v>
      </c>
      <c r="G33" s="53"/>
      <c r="H33" s="53"/>
      <c r="I33" s="53"/>
      <c r="J33" s="54"/>
    </row>
    <row r="34" customFormat="false" ht="14.25" hidden="false" customHeight="true" outlineLevel="0" collapsed="false">
      <c r="A34" s="47" t="n">
        <v>30</v>
      </c>
      <c r="B34" s="56" t="s">
        <v>484</v>
      </c>
      <c r="C34" s="56" t="s">
        <v>149</v>
      </c>
      <c r="D34" s="47" t="s">
        <v>186</v>
      </c>
      <c r="E34" s="56" t="s">
        <v>254</v>
      </c>
      <c r="F34" s="57" t="s">
        <v>14</v>
      </c>
      <c r="G34" s="56"/>
      <c r="H34" s="56"/>
      <c r="I34" s="56"/>
      <c r="J34" s="57"/>
    </row>
    <row r="35" customFormat="false" ht="14.25" hidden="false" customHeight="true" outlineLevel="0" collapsed="false">
      <c r="A35" s="44" t="n">
        <v>31</v>
      </c>
      <c r="B35" s="53" t="s">
        <v>485</v>
      </c>
      <c r="C35" s="53" t="s">
        <v>149</v>
      </c>
      <c r="D35" s="44" t="s">
        <v>486</v>
      </c>
      <c r="E35" s="53" t="s">
        <v>103</v>
      </c>
      <c r="F35" s="54" t="s">
        <v>487</v>
      </c>
      <c r="G35" s="53"/>
      <c r="H35" s="53"/>
      <c r="I35" s="53"/>
      <c r="J35" s="54"/>
    </row>
    <row r="36" customFormat="false" ht="14.25" hidden="false" customHeight="true" outlineLevel="0" collapsed="false">
      <c r="A36" s="47" t="n">
        <v>32</v>
      </c>
      <c r="B36" s="56" t="s">
        <v>488</v>
      </c>
      <c r="C36" s="56" t="s">
        <v>149</v>
      </c>
      <c r="D36" s="47" t="s">
        <v>75</v>
      </c>
      <c r="E36" s="56" t="s">
        <v>192</v>
      </c>
      <c r="F36" s="57" t="s">
        <v>377</v>
      </c>
      <c r="G36" s="56"/>
      <c r="H36" s="56" t="s">
        <v>489</v>
      </c>
      <c r="I36" s="56"/>
      <c r="J36" s="57"/>
    </row>
    <row r="37" customFormat="false" ht="14.25" hidden="false" customHeight="true" outlineLevel="0" collapsed="false">
      <c r="A37" s="44" t="n">
        <v>33</v>
      </c>
      <c r="B37" s="53" t="s">
        <v>490</v>
      </c>
      <c r="C37" s="53" t="s">
        <v>149</v>
      </c>
      <c r="D37" s="44" t="s">
        <v>69</v>
      </c>
      <c r="E37" s="53" t="s">
        <v>162</v>
      </c>
      <c r="F37" s="54" t="s">
        <v>393</v>
      </c>
      <c r="G37" s="53"/>
      <c r="H37" s="53" t="s">
        <v>491</v>
      </c>
      <c r="I37" s="53"/>
      <c r="J37" s="54"/>
    </row>
    <row r="38" customFormat="false" ht="14.25" hidden="false" customHeight="true" outlineLevel="0" collapsed="false">
      <c r="A38" s="47" t="n">
        <v>34</v>
      </c>
      <c r="B38" s="56" t="s">
        <v>492</v>
      </c>
      <c r="C38" s="56" t="s">
        <v>149</v>
      </c>
      <c r="D38" s="47" t="s">
        <v>69</v>
      </c>
      <c r="E38" s="56" t="s">
        <v>154</v>
      </c>
      <c r="F38" s="57" t="s">
        <v>425</v>
      </c>
      <c r="G38" s="56"/>
      <c r="H38" s="56" t="s">
        <v>493</v>
      </c>
      <c r="I38" s="56"/>
      <c r="J38" s="57"/>
    </row>
    <row r="39" customFormat="false" ht="14.25" hidden="false" customHeight="true" outlineLevel="0" collapsed="false">
      <c r="A39" s="44" t="n">
        <v>35</v>
      </c>
      <c r="B39" s="53" t="s">
        <v>494</v>
      </c>
      <c r="C39" s="53" t="s">
        <v>149</v>
      </c>
      <c r="D39" s="44" t="s">
        <v>204</v>
      </c>
      <c r="E39" s="53" t="s">
        <v>154</v>
      </c>
      <c r="F39" s="54" t="s">
        <v>425</v>
      </c>
      <c r="G39" s="53"/>
      <c r="H39" s="53" t="s">
        <v>495</v>
      </c>
      <c r="I39" s="55" t="s">
        <v>35</v>
      </c>
      <c r="J39" s="54"/>
    </row>
    <row r="40" customFormat="false" ht="14.25" hidden="false" customHeight="true" outlineLevel="0" collapsed="false">
      <c r="A40" s="47" t="n">
        <v>36</v>
      </c>
      <c r="B40" s="56" t="s">
        <v>496</v>
      </c>
      <c r="C40" s="56" t="s">
        <v>149</v>
      </c>
      <c r="D40" s="47" t="s">
        <v>75</v>
      </c>
      <c r="E40" s="56" t="s">
        <v>254</v>
      </c>
      <c r="F40" s="57" t="s">
        <v>348</v>
      </c>
      <c r="G40" s="56"/>
      <c r="H40" s="56" t="s">
        <v>497</v>
      </c>
      <c r="I40" s="56"/>
      <c r="J40" s="57"/>
    </row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autoFilter ref="A4:J40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2.6015625" defaultRowHeight="13.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10.5"/>
    <col collapsed="false" customWidth="true" hidden="false" outlineLevel="0" max="3" min="3" style="0" width="35"/>
    <col collapsed="false" customWidth="true" hidden="false" outlineLevel="0" max="4" min="4" style="0" width="22.79"/>
    <col collapsed="false" customWidth="true" hidden="false" outlineLevel="0" max="5" min="5" style="0" width="13.1"/>
    <col collapsed="false" customWidth="true" hidden="false" outlineLevel="0" max="6" min="6" style="0" width="19.2"/>
    <col collapsed="false" customWidth="true" hidden="false" outlineLevel="0" max="7" min="7" style="0" width="17.5"/>
    <col collapsed="false" customWidth="true" hidden="false" outlineLevel="0" max="8" min="8" style="0" width="19.2"/>
    <col collapsed="false" customWidth="true" hidden="false" outlineLevel="0" max="9" min="9" style="0" width="40.2"/>
    <col collapsed="false" customWidth="true" hidden="false" outlineLevel="0" max="10" min="10" style="0" width="28"/>
    <col collapsed="false" customWidth="true" hidden="false" outlineLevel="0" max="11" min="11" style="0" width="12.2"/>
  </cols>
  <sheetData>
    <row r="1" customFormat="false" ht="19.5" hidden="false" customHeight="true" outlineLevel="0" collapsed="false">
      <c r="A1" s="50" t="s">
        <v>498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false" ht="15" hidden="false" customHeight="true" outlineLevel="0" collapsed="false">
      <c r="A2" s="58" t="s">
        <v>499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customFormat="false" ht="14.25" hidden="false" customHeight="true" outlineLevel="0" collapsed="false"/>
    <row r="4" customFormat="false" ht="30" hidden="false" customHeight="true" outlineLevel="0" collapsed="false">
      <c r="A4" s="52" t="s">
        <v>51</v>
      </c>
      <c r="B4" s="52" t="s">
        <v>52</v>
      </c>
      <c r="C4" s="52" t="s">
        <v>53</v>
      </c>
      <c r="D4" s="52" t="s">
        <v>54</v>
      </c>
      <c r="E4" s="52" t="s">
        <v>55</v>
      </c>
      <c r="F4" s="52" t="s">
        <v>56</v>
      </c>
      <c r="G4" s="52" t="s">
        <v>57</v>
      </c>
      <c r="H4" s="52" t="s">
        <v>58</v>
      </c>
      <c r="I4" s="52" t="s">
        <v>59</v>
      </c>
      <c r="J4" s="52" t="s">
        <v>60</v>
      </c>
    </row>
    <row r="5" customFormat="false" ht="14.25" hidden="false" customHeight="true" outlineLevel="0" collapsed="false">
      <c r="A5" s="44" t="n">
        <v>1</v>
      </c>
      <c r="B5" s="53" t="s">
        <v>500</v>
      </c>
      <c r="C5" s="53" t="s">
        <v>149</v>
      </c>
      <c r="D5" s="44" t="s">
        <v>501</v>
      </c>
      <c r="E5" s="53" t="s">
        <v>502</v>
      </c>
      <c r="F5" s="54" t="s">
        <v>503</v>
      </c>
      <c r="G5" s="53"/>
      <c r="H5" s="53" t="s">
        <v>504</v>
      </c>
      <c r="I5" s="55" t="s">
        <v>35</v>
      </c>
      <c r="J5" s="54"/>
    </row>
    <row r="6" customFormat="false" ht="14.25" hidden="false" customHeight="true" outlineLevel="0" collapsed="false">
      <c r="A6" s="47" t="n">
        <v>2</v>
      </c>
      <c r="B6" s="56" t="s">
        <v>505</v>
      </c>
      <c r="C6" s="56" t="s">
        <v>149</v>
      </c>
      <c r="D6" s="47" t="s">
        <v>75</v>
      </c>
      <c r="E6" s="56" t="s">
        <v>192</v>
      </c>
      <c r="F6" s="57" t="s">
        <v>506</v>
      </c>
      <c r="G6" s="56"/>
      <c r="H6" s="56"/>
      <c r="I6" s="56"/>
      <c r="J6" s="57"/>
    </row>
    <row r="7" customFormat="false" ht="14.25" hidden="false" customHeight="true" outlineLevel="0" collapsed="false">
      <c r="A7" s="44" t="n">
        <v>3</v>
      </c>
      <c r="B7" s="53" t="s">
        <v>507</v>
      </c>
      <c r="C7" s="53" t="s">
        <v>508</v>
      </c>
      <c r="D7" s="44" t="s">
        <v>75</v>
      </c>
      <c r="E7" s="53" t="s">
        <v>509</v>
      </c>
      <c r="F7" s="54" t="s">
        <v>510</v>
      </c>
      <c r="G7" s="53"/>
      <c r="H7" s="53" t="s">
        <v>511</v>
      </c>
      <c r="I7" s="53"/>
      <c r="J7" s="54"/>
    </row>
    <row r="8" customFormat="false" ht="14.25" hidden="false" customHeight="true" outlineLevel="0" collapsed="false">
      <c r="A8" s="47" t="n">
        <v>4</v>
      </c>
      <c r="B8" s="56" t="s">
        <v>512</v>
      </c>
      <c r="C8" s="56" t="s">
        <v>149</v>
      </c>
      <c r="D8" s="47" t="s">
        <v>513</v>
      </c>
      <c r="E8" s="56" t="s">
        <v>99</v>
      </c>
      <c r="F8" s="57" t="s">
        <v>514</v>
      </c>
      <c r="G8" s="56"/>
      <c r="H8" s="56" t="s">
        <v>515</v>
      </c>
      <c r="I8" s="56"/>
      <c r="J8" s="57"/>
    </row>
    <row r="9" customFormat="false" ht="14.25" hidden="false" customHeight="true" outlineLevel="0" collapsed="false">
      <c r="A9" s="44" t="n">
        <v>5</v>
      </c>
      <c r="B9" s="53" t="s">
        <v>516</v>
      </c>
      <c r="C9" s="53" t="s">
        <v>149</v>
      </c>
      <c r="D9" s="44" t="s">
        <v>75</v>
      </c>
      <c r="E9" s="53" t="s">
        <v>192</v>
      </c>
      <c r="F9" s="54" t="s">
        <v>517</v>
      </c>
      <c r="G9" s="53"/>
      <c r="H9" s="53" t="s">
        <v>518</v>
      </c>
      <c r="I9" s="53"/>
      <c r="J9" s="54"/>
    </row>
    <row r="10" customFormat="false" ht="14.25" hidden="false" customHeight="true" outlineLevel="0" collapsed="false">
      <c r="A10" s="47" t="n">
        <v>6</v>
      </c>
      <c r="B10" s="56" t="s">
        <v>519</v>
      </c>
      <c r="C10" s="56" t="s">
        <v>149</v>
      </c>
      <c r="D10" s="47" t="s">
        <v>75</v>
      </c>
      <c r="E10" s="56" t="s">
        <v>192</v>
      </c>
      <c r="F10" s="57" t="s">
        <v>510</v>
      </c>
      <c r="G10" s="56"/>
      <c r="H10" s="56" t="s">
        <v>520</v>
      </c>
      <c r="I10" s="56"/>
      <c r="J10" s="57"/>
    </row>
    <row r="11" customFormat="false" ht="14.25" hidden="false" customHeight="true" outlineLevel="0" collapsed="false">
      <c r="A11" s="44" t="n">
        <v>7</v>
      </c>
      <c r="B11" s="53" t="s">
        <v>521</v>
      </c>
      <c r="C11" s="53" t="s">
        <v>149</v>
      </c>
      <c r="D11" s="44" t="s">
        <v>75</v>
      </c>
      <c r="E11" s="53" t="s">
        <v>409</v>
      </c>
      <c r="F11" s="54" t="s">
        <v>506</v>
      </c>
      <c r="G11" s="53"/>
      <c r="H11" s="53" t="s">
        <v>522</v>
      </c>
      <c r="I11" s="53"/>
      <c r="J11" s="54"/>
    </row>
    <row r="12" customFormat="false" ht="14.25" hidden="false" customHeight="true" outlineLevel="0" collapsed="false">
      <c r="A12" s="47" t="n">
        <v>8</v>
      </c>
      <c r="B12" s="56" t="s">
        <v>523</v>
      </c>
      <c r="C12" s="56" t="s">
        <v>149</v>
      </c>
      <c r="D12" s="47" t="s">
        <v>75</v>
      </c>
      <c r="E12" s="56" t="s">
        <v>524</v>
      </c>
      <c r="F12" s="57" t="s">
        <v>506</v>
      </c>
      <c r="G12" s="56"/>
      <c r="H12" s="56" t="s">
        <v>525</v>
      </c>
      <c r="I12" s="55" t="s">
        <v>37</v>
      </c>
      <c r="J12" s="57"/>
    </row>
    <row r="13" customFormat="false" ht="14.25" hidden="false" customHeight="true" outlineLevel="0" collapsed="false">
      <c r="A13" s="44" t="n">
        <v>9</v>
      </c>
      <c r="B13" s="53" t="s">
        <v>526</v>
      </c>
      <c r="C13" s="53" t="s">
        <v>527</v>
      </c>
      <c r="D13" s="44" t="s">
        <v>75</v>
      </c>
      <c r="E13" s="53" t="s">
        <v>528</v>
      </c>
      <c r="F13" s="54" t="s">
        <v>529</v>
      </c>
      <c r="G13" s="53"/>
      <c r="H13" s="53" t="s">
        <v>530</v>
      </c>
      <c r="I13" s="55" t="s">
        <v>48</v>
      </c>
      <c r="J13" s="54"/>
    </row>
    <row r="14" customFormat="false" ht="14.25" hidden="false" customHeight="true" outlineLevel="0" collapsed="false">
      <c r="A14" s="47" t="n">
        <v>10</v>
      </c>
      <c r="B14" s="56" t="s">
        <v>531</v>
      </c>
      <c r="C14" s="56" t="s">
        <v>149</v>
      </c>
      <c r="D14" s="47" t="s">
        <v>532</v>
      </c>
      <c r="E14" s="56" t="s">
        <v>533</v>
      </c>
      <c r="F14" s="57" t="s">
        <v>517</v>
      </c>
      <c r="G14" s="56"/>
      <c r="H14" s="56" t="s">
        <v>534</v>
      </c>
      <c r="I14" s="56"/>
      <c r="J14" s="57"/>
    </row>
    <row r="15" customFormat="false" ht="14.25" hidden="false" customHeight="true" outlineLevel="0" collapsed="false">
      <c r="A15" s="44" t="n">
        <v>11</v>
      </c>
      <c r="B15" s="53" t="s">
        <v>535</v>
      </c>
      <c r="C15" s="53" t="s">
        <v>149</v>
      </c>
      <c r="D15" s="44" t="s">
        <v>204</v>
      </c>
      <c r="E15" s="53" t="s">
        <v>154</v>
      </c>
      <c r="F15" s="54" t="s">
        <v>536</v>
      </c>
      <c r="G15" s="53"/>
      <c r="H15" s="53" t="s">
        <v>537</v>
      </c>
      <c r="I15" s="55" t="s">
        <v>35</v>
      </c>
      <c r="J15" s="54"/>
    </row>
    <row r="16" customFormat="false" ht="14.25" hidden="false" customHeight="true" outlineLevel="0" collapsed="false">
      <c r="A16" s="47" t="n">
        <v>12</v>
      </c>
      <c r="B16" s="56" t="s">
        <v>538</v>
      </c>
      <c r="C16" s="56" t="s">
        <v>149</v>
      </c>
      <c r="D16" s="47" t="s">
        <v>539</v>
      </c>
      <c r="E16" s="56" t="s">
        <v>540</v>
      </c>
      <c r="F16" s="57" t="s">
        <v>517</v>
      </c>
      <c r="G16" s="56"/>
      <c r="H16" s="56" t="s">
        <v>541</v>
      </c>
      <c r="I16" s="56"/>
      <c r="J16" s="57"/>
    </row>
    <row r="17" customFormat="false" ht="14.25" hidden="false" customHeight="true" outlineLevel="0" collapsed="false">
      <c r="A17" s="44" t="n">
        <v>13</v>
      </c>
      <c r="B17" s="53" t="s">
        <v>542</v>
      </c>
      <c r="C17" s="53" t="s">
        <v>543</v>
      </c>
      <c r="D17" s="44" t="s">
        <v>75</v>
      </c>
      <c r="E17" s="53" t="s">
        <v>168</v>
      </c>
      <c r="F17" s="54" t="s">
        <v>510</v>
      </c>
      <c r="G17" s="53"/>
      <c r="H17" s="53" t="s">
        <v>544</v>
      </c>
      <c r="I17" s="53"/>
      <c r="J17" s="54"/>
    </row>
    <row r="18" customFormat="false" ht="14.25" hidden="false" customHeight="true" outlineLevel="0" collapsed="false">
      <c r="A18" s="47" t="n">
        <v>14</v>
      </c>
      <c r="B18" s="56" t="s">
        <v>545</v>
      </c>
      <c r="C18" s="56" t="s">
        <v>546</v>
      </c>
      <c r="D18" s="47" t="s">
        <v>75</v>
      </c>
      <c r="E18" s="56" t="s">
        <v>547</v>
      </c>
      <c r="F18" s="57" t="s">
        <v>529</v>
      </c>
      <c r="G18" s="56"/>
      <c r="H18" s="56" t="s">
        <v>548</v>
      </c>
      <c r="I18" s="56"/>
      <c r="J18" s="57"/>
    </row>
    <row r="19" customFormat="false" ht="14.25" hidden="false" customHeight="true" outlineLevel="0" collapsed="false">
      <c r="A19" s="44" t="n">
        <v>15</v>
      </c>
      <c r="B19" s="53" t="s">
        <v>549</v>
      </c>
      <c r="C19" s="53" t="s">
        <v>527</v>
      </c>
      <c r="D19" s="44" t="s">
        <v>75</v>
      </c>
      <c r="E19" s="53" t="s">
        <v>547</v>
      </c>
      <c r="F19" s="54" t="s">
        <v>529</v>
      </c>
      <c r="G19" s="53"/>
      <c r="H19" s="53" t="s">
        <v>550</v>
      </c>
      <c r="I19" s="53"/>
      <c r="J19" s="54"/>
    </row>
    <row r="20" customFormat="false" ht="14.25" hidden="false" customHeight="true" outlineLevel="0" collapsed="false">
      <c r="A20" s="47" t="n">
        <v>16</v>
      </c>
      <c r="B20" s="56" t="s">
        <v>551</v>
      </c>
      <c r="C20" s="56" t="s">
        <v>149</v>
      </c>
      <c r="D20" s="47" t="s">
        <v>75</v>
      </c>
      <c r="E20" s="56" t="s">
        <v>150</v>
      </c>
      <c r="F20" s="57" t="s">
        <v>536</v>
      </c>
      <c r="G20" s="56"/>
      <c r="H20" s="56" t="s">
        <v>552</v>
      </c>
      <c r="I20" s="55" t="s">
        <v>37</v>
      </c>
      <c r="J20" s="57"/>
    </row>
    <row r="21" customFormat="false" ht="14.25" hidden="false" customHeight="true" outlineLevel="0" collapsed="false">
      <c r="A21" s="44" t="n">
        <v>17</v>
      </c>
      <c r="B21" s="53" t="s">
        <v>553</v>
      </c>
      <c r="C21" s="53" t="s">
        <v>149</v>
      </c>
      <c r="D21" s="44" t="s">
        <v>554</v>
      </c>
      <c r="E21" s="53" t="s">
        <v>162</v>
      </c>
      <c r="F21" s="54" t="s">
        <v>517</v>
      </c>
      <c r="G21" s="53"/>
      <c r="H21" s="53" t="s">
        <v>555</v>
      </c>
      <c r="I21" s="53"/>
      <c r="J21" s="54"/>
    </row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autoFilter ref="A4:J21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2.6015625" defaultRowHeight="13.5" zeroHeight="false" outlineLevelRow="0" outlineLevelCol="0"/>
  <cols>
    <col collapsed="false" customWidth="true" hidden="false" outlineLevel="0" max="1" min="1" style="0" width="5.29"/>
    <col collapsed="false" customWidth="true" hidden="false" outlineLevel="0" max="2" min="2" style="0" width="10.5"/>
    <col collapsed="false" customWidth="true" hidden="false" outlineLevel="0" max="3" min="3" style="0" width="35"/>
    <col collapsed="false" customWidth="true" hidden="false" outlineLevel="0" max="4" min="4" style="0" width="22.79"/>
    <col collapsed="false" customWidth="true" hidden="false" outlineLevel="0" max="5" min="5" style="0" width="13.1"/>
    <col collapsed="false" customWidth="true" hidden="false" outlineLevel="0" max="6" min="6" style="0" width="19.2"/>
    <col collapsed="false" customWidth="true" hidden="false" outlineLevel="0" max="7" min="7" style="0" width="17.5"/>
    <col collapsed="false" customWidth="true" hidden="false" outlineLevel="0" max="8" min="8" style="0" width="19.2"/>
    <col collapsed="false" customWidth="true" hidden="false" outlineLevel="0" max="9" min="9" style="0" width="40.2"/>
    <col collapsed="false" customWidth="true" hidden="false" outlineLevel="0" max="10" min="10" style="0" width="28"/>
    <col collapsed="false" customWidth="true" hidden="false" outlineLevel="0" max="11" min="11" style="0" width="12.2"/>
  </cols>
  <sheetData>
    <row r="1" customFormat="false" ht="19.5" hidden="false" customHeight="true" outlineLevel="0" collapsed="false">
      <c r="A1" s="50" t="s">
        <v>556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false" ht="15" hidden="false" customHeight="true" outlineLevel="0" collapsed="false">
      <c r="A2" s="51" t="s">
        <v>557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4.25" hidden="false" customHeight="true" outlineLevel="0" collapsed="false"/>
    <row r="4" customFormat="false" ht="30" hidden="false" customHeight="true" outlineLevel="0" collapsed="false">
      <c r="A4" s="52" t="s">
        <v>51</v>
      </c>
      <c r="B4" s="52" t="s">
        <v>52</v>
      </c>
      <c r="C4" s="52" t="s">
        <v>53</v>
      </c>
      <c r="D4" s="52" t="s">
        <v>54</v>
      </c>
      <c r="E4" s="52" t="s">
        <v>55</v>
      </c>
      <c r="F4" s="52" t="s">
        <v>56</v>
      </c>
      <c r="G4" s="52" t="s">
        <v>57</v>
      </c>
      <c r="H4" s="52" t="s">
        <v>58</v>
      </c>
      <c r="I4" s="52" t="s">
        <v>59</v>
      </c>
      <c r="J4" s="52" t="s">
        <v>60</v>
      </c>
    </row>
    <row r="5" customFormat="false" ht="14.25" hidden="false" customHeight="true" outlineLevel="0" collapsed="false">
      <c r="A5" s="44" t="n">
        <v>1</v>
      </c>
      <c r="B5" s="53" t="s">
        <v>558</v>
      </c>
      <c r="C5" s="53" t="s">
        <v>149</v>
      </c>
      <c r="D5" s="44" t="s">
        <v>75</v>
      </c>
      <c r="E5" s="53" t="s">
        <v>139</v>
      </c>
      <c r="F5" s="54" t="s">
        <v>559</v>
      </c>
      <c r="G5" s="53"/>
      <c r="H5" s="53" t="s">
        <v>560</v>
      </c>
      <c r="I5" s="55" t="s">
        <v>561</v>
      </c>
      <c r="J5" s="54"/>
    </row>
    <row r="6" customFormat="false" ht="14.25" hidden="false" customHeight="true" outlineLevel="0" collapsed="false">
      <c r="A6" s="47" t="n">
        <v>2</v>
      </c>
      <c r="B6" s="56" t="s">
        <v>562</v>
      </c>
      <c r="C6" s="56" t="s">
        <v>149</v>
      </c>
      <c r="D6" s="47" t="s">
        <v>83</v>
      </c>
      <c r="E6" s="56" t="s">
        <v>103</v>
      </c>
      <c r="F6" s="57" t="s">
        <v>559</v>
      </c>
      <c r="G6" s="56"/>
      <c r="H6" s="56" t="s">
        <v>563</v>
      </c>
      <c r="I6" s="55" t="s">
        <v>564</v>
      </c>
      <c r="J6" s="57"/>
    </row>
    <row r="7" customFormat="false" ht="14.25" hidden="false" customHeight="true" outlineLevel="0" collapsed="false">
      <c r="A7" s="44" t="n">
        <v>3</v>
      </c>
      <c r="B7" s="53" t="s">
        <v>565</v>
      </c>
      <c r="C7" s="53" t="s">
        <v>149</v>
      </c>
      <c r="D7" s="44" t="s">
        <v>124</v>
      </c>
      <c r="E7" s="53" t="s">
        <v>566</v>
      </c>
      <c r="F7" s="54" t="s">
        <v>529</v>
      </c>
      <c r="G7" s="53"/>
      <c r="H7" s="53" t="s">
        <v>567</v>
      </c>
      <c r="I7" s="55" t="s">
        <v>568</v>
      </c>
      <c r="J7" s="54"/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autoFilter ref="A4:J7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3.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34"/>
  </cols>
  <sheetData>
    <row r="1" customFormat="false" ht="15.75" hidden="false" customHeight="true" outlineLevel="0" collapsed="false">
      <c r="A1" s="59" t="s">
        <v>569</v>
      </c>
    </row>
    <row r="2" customFormat="false" ht="15" hidden="false" customHeight="true" outlineLevel="0" collapsed="false">
      <c r="A2" s="37" t="s">
        <v>570</v>
      </c>
    </row>
    <row r="4" customFormat="false" ht="30" hidden="false" customHeight="true" outlineLevel="0" collapsed="false">
      <c r="A4" s="38" t="s">
        <v>571</v>
      </c>
      <c r="B4" s="38" t="s">
        <v>572</v>
      </c>
      <c r="C4" s="38" t="s">
        <v>573</v>
      </c>
      <c r="D4" s="38" t="s">
        <v>574</v>
      </c>
      <c r="E4" s="38" t="s">
        <v>575</v>
      </c>
      <c r="F4" s="38" t="s">
        <v>576</v>
      </c>
      <c r="G4" s="38" t="s">
        <v>577</v>
      </c>
    </row>
    <row r="5" customFormat="false" ht="15" hidden="false" customHeight="true" outlineLevel="0" collapsed="false">
      <c r="A5" s="39" t="s">
        <v>578</v>
      </c>
      <c r="B5" s="40"/>
      <c r="C5" s="40"/>
      <c r="D5" s="40"/>
      <c r="E5" s="40"/>
      <c r="F5" s="40"/>
      <c r="G5" s="40"/>
    </row>
    <row r="6" customFormat="false" ht="15" hidden="false" customHeight="true" outlineLevel="0" collapsed="false">
      <c r="A6" s="60" t="s">
        <v>579</v>
      </c>
      <c r="B6" s="61" t="s">
        <v>580</v>
      </c>
      <c r="C6" s="62" t="n">
        <v>1</v>
      </c>
      <c r="D6" s="62" t="n">
        <f aca="false">C6*2</f>
        <v>2</v>
      </c>
      <c r="E6" s="62"/>
      <c r="F6" s="62" t="str">
        <f aca="false">IF(E6="","",D6-E6)</f>
        <v/>
      </c>
      <c r="G6" s="61"/>
    </row>
    <row r="7" customFormat="false" ht="15" hidden="false" customHeight="true" outlineLevel="0" collapsed="false">
      <c r="A7" s="63" t="s">
        <v>581</v>
      </c>
      <c r="B7" s="64" t="s">
        <v>582</v>
      </c>
      <c r="C7" s="65" t="n">
        <v>1</v>
      </c>
      <c r="D7" s="65" t="n">
        <f aca="false">C7*2</f>
        <v>2</v>
      </c>
      <c r="E7" s="65"/>
      <c r="F7" s="65" t="str">
        <f aca="false">IF(E7="","",D7-E7)</f>
        <v/>
      </c>
      <c r="G7" s="64"/>
    </row>
    <row r="8" customFormat="false" ht="15" hidden="false" customHeight="true" outlineLevel="0" collapsed="false">
      <c r="A8" s="60" t="s">
        <v>583</v>
      </c>
      <c r="B8" s="61" t="s">
        <v>584</v>
      </c>
      <c r="C8" s="62" t="n">
        <v>2</v>
      </c>
      <c r="D8" s="62" t="n">
        <f aca="false">C8*2</f>
        <v>4</v>
      </c>
      <c r="E8" s="62"/>
      <c r="F8" s="62" t="str">
        <f aca="false">IF(E8="","",D8-E8)</f>
        <v/>
      </c>
      <c r="G8" s="61"/>
    </row>
    <row r="9" customFormat="false" ht="15" hidden="false" customHeight="true" outlineLevel="0" collapsed="false">
      <c r="A9" s="63" t="s">
        <v>585</v>
      </c>
      <c r="B9" s="64" t="s">
        <v>586</v>
      </c>
      <c r="C9" s="65" t="n">
        <v>4</v>
      </c>
      <c r="D9" s="65" t="n">
        <f aca="false">C9*2</f>
        <v>8</v>
      </c>
      <c r="E9" s="65"/>
      <c r="F9" s="65" t="str">
        <f aca="false">IF(E9="","",D9-E9)</f>
        <v/>
      </c>
      <c r="G9" s="64"/>
    </row>
    <row r="10" customFormat="false" ht="15" hidden="false" customHeight="true" outlineLevel="0" collapsed="false">
      <c r="A10" s="60" t="s">
        <v>587</v>
      </c>
      <c r="B10" s="61" t="s">
        <v>588</v>
      </c>
      <c r="C10" s="62" t="n">
        <v>1</v>
      </c>
      <c r="D10" s="62" t="n">
        <f aca="false">C10*2</f>
        <v>2</v>
      </c>
      <c r="E10" s="62"/>
      <c r="F10" s="62" t="str">
        <f aca="false">IF(E10="","",D10-E10)</f>
        <v/>
      </c>
      <c r="G10" s="61"/>
    </row>
    <row r="11" customFormat="false" ht="15" hidden="false" customHeight="true" outlineLevel="0" collapsed="false">
      <c r="A11" s="63" t="s">
        <v>589</v>
      </c>
      <c r="B11" s="64" t="s">
        <v>590</v>
      </c>
      <c r="C11" s="65" t="n">
        <v>1</v>
      </c>
      <c r="D11" s="65" t="n">
        <f aca="false">C11*2</f>
        <v>2</v>
      </c>
      <c r="E11" s="65"/>
      <c r="F11" s="65" t="str">
        <f aca="false">IF(E11="","",D11-E11)</f>
        <v/>
      </c>
      <c r="G11" s="64"/>
    </row>
    <row r="12" customFormat="false" ht="15" hidden="false" customHeight="true" outlineLevel="0" collapsed="false">
      <c r="A12" s="60" t="s">
        <v>236</v>
      </c>
      <c r="B12" s="61" t="s">
        <v>591</v>
      </c>
      <c r="C12" s="62" t="n">
        <v>1</v>
      </c>
      <c r="D12" s="62" t="n">
        <f aca="false">C12*2</f>
        <v>2</v>
      </c>
      <c r="E12" s="62"/>
      <c r="F12" s="62" t="str">
        <f aca="false">IF(E12="","",D12-E12)</f>
        <v/>
      </c>
      <c r="G12" s="61"/>
    </row>
    <row r="13" customFormat="false" ht="15" hidden="false" customHeight="true" outlineLevel="0" collapsed="false">
      <c r="A13" s="63" t="s">
        <v>592</v>
      </c>
      <c r="B13" s="64" t="s">
        <v>593</v>
      </c>
      <c r="C13" s="65" t="n">
        <v>1</v>
      </c>
      <c r="D13" s="65" t="n">
        <f aca="false">C13*2</f>
        <v>2</v>
      </c>
      <c r="E13" s="65"/>
      <c r="F13" s="65" t="str">
        <f aca="false">IF(E13="","",D13-E13)</f>
        <v/>
      </c>
      <c r="G13" s="64"/>
    </row>
    <row r="14" customFormat="false" ht="15" hidden="false" customHeight="true" outlineLevel="0" collapsed="false">
      <c r="A14" s="60" t="s">
        <v>594</v>
      </c>
      <c r="B14" s="61" t="s">
        <v>595</v>
      </c>
      <c r="C14" s="62" t="n">
        <v>1</v>
      </c>
      <c r="D14" s="62" t="n">
        <f aca="false">C14*2</f>
        <v>2</v>
      </c>
      <c r="E14" s="62"/>
      <c r="F14" s="62" t="str">
        <f aca="false">IF(E14="","",D14-E14)</f>
        <v/>
      </c>
      <c r="G14" s="61"/>
    </row>
    <row r="15" customFormat="false" ht="15" hidden="false" customHeight="true" outlineLevel="0" collapsed="false">
      <c r="A15" s="63" t="s">
        <v>596</v>
      </c>
      <c r="B15" s="64" t="s">
        <v>597</v>
      </c>
      <c r="C15" s="65" t="n">
        <v>1</v>
      </c>
      <c r="D15" s="65" t="n">
        <f aca="false">C15*2</f>
        <v>2</v>
      </c>
      <c r="E15" s="65"/>
      <c r="F15" s="65" t="str">
        <f aca="false">IF(E15="","",D15-E15)</f>
        <v/>
      </c>
      <c r="G15" s="64"/>
    </row>
    <row r="16" customFormat="false" ht="15" hidden="false" customHeight="true" outlineLevel="0" collapsed="false">
      <c r="A16" s="60" t="s">
        <v>598</v>
      </c>
      <c r="B16" s="61" t="s">
        <v>599</v>
      </c>
      <c r="C16" s="62" t="n">
        <v>1</v>
      </c>
      <c r="D16" s="62" t="n">
        <f aca="false">C16*2</f>
        <v>2</v>
      </c>
      <c r="E16" s="62"/>
      <c r="F16" s="62" t="str">
        <f aca="false">IF(E16="","",D16-E16)</f>
        <v/>
      </c>
      <c r="G16" s="61"/>
    </row>
    <row r="17" customFormat="false" ht="15" hidden="false" customHeight="true" outlineLevel="0" collapsed="false">
      <c r="A17" s="63" t="s">
        <v>600</v>
      </c>
      <c r="B17" s="64" t="s">
        <v>601</v>
      </c>
      <c r="C17" s="65" t="n">
        <v>2</v>
      </c>
      <c r="D17" s="65" t="n">
        <f aca="false">C17*2</f>
        <v>4</v>
      </c>
      <c r="E17" s="65"/>
      <c r="F17" s="65" t="str">
        <f aca="false">IF(E17="","",D17-E17)</f>
        <v/>
      </c>
      <c r="G17" s="64"/>
    </row>
    <row r="18" customFormat="false" ht="15" hidden="false" customHeight="true" outlineLevel="0" collapsed="false">
      <c r="A18" s="60" t="s">
        <v>602</v>
      </c>
      <c r="B18" s="61" t="s">
        <v>603</v>
      </c>
      <c r="C18" s="62" t="n">
        <v>1</v>
      </c>
      <c r="D18" s="62" t="n">
        <f aca="false">C18*2</f>
        <v>2</v>
      </c>
      <c r="E18" s="62"/>
      <c r="F18" s="62" t="str">
        <f aca="false">IF(E18="","",D18-E18)</f>
        <v/>
      </c>
      <c r="G18" s="61"/>
    </row>
    <row r="19" customFormat="false" ht="15" hidden="false" customHeight="true" outlineLevel="0" collapsed="false">
      <c r="A19" s="63" t="s">
        <v>604</v>
      </c>
      <c r="B19" s="64" t="s">
        <v>605</v>
      </c>
      <c r="C19" s="65" t="n">
        <v>4</v>
      </c>
      <c r="D19" s="65" t="n">
        <f aca="false">C19*2</f>
        <v>8</v>
      </c>
      <c r="E19" s="65"/>
      <c r="F19" s="65" t="str">
        <f aca="false">IF(E19="","",D19-E19)</f>
        <v/>
      </c>
      <c r="G19" s="64"/>
    </row>
    <row r="20" customFormat="false" ht="15" hidden="false" customHeight="true" outlineLevel="0" collapsed="false">
      <c r="A20" s="60" t="s">
        <v>606</v>
      </c>
      <c r="B20" s="61" t="s">
        <v>607</v>
      </c>
      <c r="C20" s="62" t="n">
        <v>1</v>
      </c>
      <c r="D20" s="62" t="n">
        <f aca="false">C20*2</f>
        <v>2</v>
      </c>
      <c r="E20" s="62"/>
      <c r="F20" s="62" t="str">
        <f aca="false">IF(E20="","",D20-E20)</f>
        <v/>
      </c>
      <c r="G20" s="61"/>
    </row>
    <row r="21" customFormat="false" ht="15" hidden="false" customHeight="true" outlineLevel="0" collapsed="false">
      <c r="A21" s="63" t="s">
        <v>608</v>
      </c>
      <c r="B21" s="64" t="s">
        <v>609</v>
      </c>
      <c r="C21" s="65" t="n">
        <v>1</v>
      </c>
      <c r="D21" s="65" t="n">
        <f aca="false">C21*2</f>
        <v>2</v>
      </c>
      <c r="E21" s="65"/>
      <c r="F21" s="65" t="str">
        <f aca="false">IF(E21="","",D21-E21)</f>
        <v/>
      </c>
      <c r="G21" s="64"/>
    </row>
    <row r="22" customFormat="false" ht="15" hidden="false" customHeight="true" outlineLevel="0" collapsed="false">
      <c r="A22" s="60" t="s">
        <v>610</v>
      </c>
      <c r="B22" s="61" t="s">
        <v>611</v>
      </c>
      <c r="C22" s="62" t="n">
        <v>1</v>
      </c>
      <c r="D22" s="62" t="n">
        <f aca="false">C22*2</f>
        <v>2</v>
      </c>
      <c r="E22" s="62"/>
      <c r="F22" s="62" t="str">
        <f aca="false">IF(E22="","",D22-E22)</f>
        <v/>
      </c>
      <c r="G22" s="61"/>
    </row>
    <row r="23" customFormat="false" ht="15" hidden="false" customHeight="true" outlineLevel="0" collapsed="false">
      <c r="A23" s="63" t="s">
        <v>612</v>
      </c>
      <c r="B23" s="64" t="s">
        <v>613</v>
      </c>
      <c r="C23" s="65" t="n">
        <v>1</v>
      </c>
      <c r="D23" s="65" t="n">
        <f aca="false">C23*2</f>
        <v>2</v>
      </c>
      <c r="E23" s="65"/>
      <c r="F23" s="65" t="str">
        <f aca="false">IF(E23="","",D23-E23)</f>
        <v/>
      </c>
      <c r="G23" s="64"/>
    </row>
    <row r="24" customFormat="false" ht="15" hidden="false" customHeight="true" outlineLevel="0" collapsed="false">
      <c r="A24" s="60" t="s">
        <v>614</v>
      </c>
      <c r="B24" s="61" t="s">
        <v>615</v>
      </c>
      <c r="C24" s="62" t="n">
        <v>1</v>
      </c>
      <c r="D24" s="62" t="n">
        <f aca="false">C24*2</f>
        <v>2</v>
      </c>
      <c r="E24" s="62"/>
      <c r="F24" s="62" t="str">
        <f aca="false">IF(E24="","",D24-E24)</f>
        <v/>
      </c>
      <c r="G24" s="61"/>
    </row>
    <row r="25" customFormat="false" ht="15" hidden="false" customHeight="true" outlineLevel="0" collapsed="false">
      <c r="A25" s="63" t="s">
        <v>616</v>
      </c>
      <c r="B25" s="64" t="s">
        <v>617</v>
      </c>
      <c r="C25" s="65" t="n">
        <v>1</v>
      </c>
      <c r="D25" s="65" t="n">
        <f aca="false">C25*2</f>
        <v>2</v>
      </c>
      <c r="E25" s="65"/>
      <c r="F25" s="65" t="str">
        <f aca="false">IF(E25="","",D25-E25)</f>
        <v/>
      </c>
      <c r="G25" s="64"/>
    </row>
    <row r="26" customFormat="false" ht="15" hidden="false" customHeight="true" outlineLevel="0" collapsed="false">
      <c r="A26" s="60" t="s">
        <v>618</v>
      </c>
      <c r="B26" s="61" t="s">
        <v>619</v>
      </c>
      <c r="C26" s="62" t="n">
        <v>1</v>
      </c>
      <c r="D26" s="62" t="n">
        <f aca="false">C26*2</f>
        <v>2</v>
      </c>
      <c r="E26" s="62"/>
      <c r="F26" s="62" t="str">
        <f aca="false">IF(E26="","",D26-E26)</f>
        <v/>
      </c>
      <c r="G26" s="61"/>
    </row>
    <row r="27" customFormat="false" ht="15" hidden="false" customHeight="true" outlineLevel="0" collapsed="false">
      <c r="A27" s="63" t="s">
        <v>620</v>
      </c>
      <c r="B27" s="64" t="s">
        <v>621</v>
      </c>
      <c r="C27" s="65" t="n">
        <v>1</v>
      </c>
      <c r="D27" s="65" t="n">
        <f aca="false">C27*2</f>
        <v>2</v>
      </c>
      <c r="E27" s="65"/>
      <c r="F27" s="65" t="str">
        <f aca="false">IF(E27="","",D27-E27)</f>
        <v/>
      </c>
      <c r="G27" s="64"/>
    </row>
    <row r="28" customFormat="false" ht="15" hidden="false" customHeight="true" outlineLevel="0" collapsed="false">
      <c r="A28" s="60" t="s">
        <v>622</v>
      </c>
      <c r="B28" s="61" t="s">
        <v>623</v>
      </c>
      <c r="C28" s="62" t="n">
        <v>4</v>
      </c>
      <c r="D28" s="62" t="n">
        <f aca="false">C28*2</f>
        <v>8</v>
      </c>
      <c r="E28" s="62"/>
      <c r="F28" s="62" t="str">
        <f aca="false">IF(E28="","",D28-E28)</f>
        <v/>
      </c>
      <c r="G28" s="61"/>
    </row>
    <row r="29" customFormat="false" ht="15" hidden="false" customHeight="true" outlineLevel="0" collapsed="false">
      <c r="A29" s="63" t="s">
        <v>624</v>
      </c>
      <c r="B29" s="64" t="s">
        <v>625</v>
      </c>
      <c r="C29" s="65" t="n">
        <v>2</v>
      </c>
      <c r="D29" s="65" t="n">
        <f aca="false">C29*2</f>
        <v>4</v>
      </c>
      <c r="E29" s="65"/>
      <c r="F29" s="65" t="str">
        <f aca="false">IF(E29="","",D29-E29)</f>
        <v/>
      </c>
      <c r="G29" s="64"/>
    </row>
    <row r="30" customFormat="false" ht="15" hidden="false" customHeight="true" outlineLevel="0" collapsed="false">
      <c r="A30" s="60" t="s">
        <v>626</v>
      </c>
      <c r="B30" s="61" t="s">
        <v>627</v>
      </c>
      <c r="C30" s="62" t="n">
        <v>2</v>
      </c>
      <c r="D30" s="62" t="n">
        <f aca="false">C30*2</f>
        <v>4</v>
      </c>
      <c r="E30" s="62"/>
      <c r="F30" s="62" t="str">
        <f aca="false">IF(E30="","",D30-E30)</f>
        <v/>
      </c>
      <c r="G30" s="61"/>
    </row>
    <row r="31" customFormat="false" ht="15" hidden="false" customHeight="true" outlineLevel="0" collapsed="false">
      <c r="A31" s="63" t="s">
        <v>628</v>
      </c>
      <c r="B31" s="64" t="s">
        <v>629</v>
      </c>
      <c r="C31" s="65" t="n">
        <v>4</v>
      </c>
      <c r="D31" s="65" t="n">
        <f aca="false">C31*2</f>
        <v>8</v>
      </c>
      <c r="E31" s="65"/>
      <c r="F31" s="65" t="str">
        <f aca="false">IF(E31="","",D31-E31)</f>
        <v/>
      </c>
      <c r="G31" s="64"/>
    </row>
    <row r="32" customFormat="false" ht="15" hidden="false" customHeight="true" outlineLevel="0" collapsed="false">
      <c r="A32" s="60" t="s">
        <v>630</v>
      </c>
      <c r="B32" s="61" t="s">
        <v>631</v>
      </c>
      <c r="C32" s="62" t="n">
        <v>4</v>
      </c>
      <c r="D32" s="62" t="n">
        <f aca="false">C32*2</f>
        <v>8</v>
      </c>
      <c r="E32" s="62"/>
      <c r="F32" s="62" t="str">
        <f aca="false">IF(E32="","",D32-E32)</f>
        <v/>
      </c>
      <c r="G32" s="61"/>
    </row>
    <row r="33" customFormat="false" ht="15" hidden="false" customHeight="true" outlineLevel="0" collapsed="false">
      <c r="A33" s="63" t="s">
        <v>632</v>
      </c>
      <c r="B33" s="64" t="s">
        <v>633</v>
      </c>
      <c r="C33" s="65" t="n">
        <v>3</v>
      </c>
      <c r="D33" s="65" t="n">
        <f aca="false">C33*2</f>
        <v>6</v>
      </c>
      <c r="E33" s="65"/>
      <c r="F33" s="65" t="str">
        <f aca="false">IF(E33="","",D33-E33)</f>
        <v/>
      </c>
      <c r="G33" s="64"/>
    </row>
    <row r="34" customFormat="false" ht="15" hidden="false" customHeight="true" outlineLevel="0" collapsed="false">
      <c r="A34" s="60" t="s">
        <v>634</v>
      </c>
      <c r="B34" s="61" t="s">
        <v>635</v>
      </c>
      <c r="C34" s="62" t="n">
        <v>2</v>
      </c>
      <c r="D34" s="62" t="n">
        <f aca="false">C34*2</f>
        <v>4</v>
      </c>
      <c r="E34" s="62"/>
      <c r="F34" s="62" t="str">
        <f aca="false">IF(E34="","",D34-E34)</f>
        <v/>
      </c>
      <c r="G34" s="61"/>
    </row>
    <row r="35" customFormat="false" ht="15" hidden="false" customHeight="true" outlineLevel="0" collapsed="false">
      <c r="A35" s="39" t="s">
        <v>636</v>
      </c>
      <c r="B35" s="40"/>
      <c r="C35" s="40"/>
      <c r="D35" s="40"/>
      <c r="E35" s="40"/>
      <c r="F35" s="40"/>
      <c r="G35" s="40"/>
    </row>
    <row r="36" customFormat="false" ht="15" hidden="false" customHeight="true" outlineLevel="0" collapsed="false">
      <c r="A36" s="60" t="s">
        <v>637</v>
      </c>
      <c r="B36" s="61" t="s">
        <v>638</v>
      </c>
      <c r="C36" s="62" t="n">
        <v>1</v>
      </c>
      <c r="D36" s="62" t="n">
        <f aca="false">C36*2</f>
        <v>2</v>
      </c>
      <c r="E36" s="62"/>
      <c r="F36" s="62" t="str">
        <f aca="false">IF(E36="","",D36-E36)</f>
        <v/>
      </c>
      <c r="G36" s="61"/>
    </row>
    <row r="37" customFormat="false" ht="15" hidden="false" customHeight="true" outlineLevel="0" collapsed="false">
      <c r="A37" s="63" t="s">
        <v>639</v>
      </c>
      <c r="B37" s="64" t="s">
        <v>640</v>
      </c>
      <c r="C37" s="65" t="n">
        <v>1</v>
      </c>
      <c r="D37" s="65" t="n">
        <f aca="false">C37*2</f>
        <v>2</v>
      </c>
      <c r="E37" s="65"/>
      <c r="F37" s="65" t="str">
        <f aca="false">IF(E37="","",D37-E37)</f>
        <v/>
      </c>
      <c r="G37" s="64"/>
    </row>
    <row r="38" customFormat="false" ht="15" hidden="false" customHeight="true" outlineLevel="0" collapsed="false">
      <c r="A38" s="60" t="s">
        <v>641</v>
      </c>
      <c r="B38" s="61" t="s">
        <v>642</v>
      </c>
      <c r="C38" s="62" t="n">
        <v>1</v>
      </c>
      <c r="D38" s="62" t="n">
        <f aca="false">C38*2</f>
        <v>2</v>
      </c>
      <c r="E38" s="62"/>
      <c r="F38" s="62" t="str">
        <f aca="false">IF(E38="","",D38-E38)</f>
        <v/>
      </c>
      <c r="G38" s="61"/>
    </row>
    <row r="39" customFormat="false" ht="15" hidden="false" customHeight="true" outlineLevel="0" collapsed="false">
      <c r="A39" s="63" t="s">
        <v>643</v>
      </c>
      <c r="B39" s="64" t="s">
        <v>644</v>
      </c>
      <c r="C39" s="65" t="n">
        <v>1</v>
      </c>
      <c r="D39" s="65" t="n">
        <f aca="false">C39*2</f>
        <v>2</v>
      </c>
      <c r="E39" s="65"/>
      <c r="F39" s="65" t="str">
        <f aca="false">IF(E39="","",D39-E39)</f>
        <v/>
      </c>
      <c r="G39" s="64"/>
    </row>
    <row r="40" customFormat="false" ht="15" hidden="false" customHeight="true" outlineLevel="0" collapsed="false">
      <c r="A40" s="60" t="s">
        <v>645</v>
      </c>
      <c r="B40" s="61" t="s">
        <v>646</v>
      </c>
      <c r="C40" s="62" t="n">
        <v>2</v>
      </c>
      <c r="D40" s="62" t="n">
        <f aca="false">C40*2</f>
        <v>4</v>
      </c>
      <c r="E40" s="62"/>
      <c r="F40" s="62" t="str">
        <f aca="false">IF(E40="","",D40-E40)</f>
        <v/>
      </c>
      <c r="G40" s="61"/>
    </row>
    <row r="41" customFormat="false" ht="15" hidden="false" customHeight="true" outlineLevel="0" collapsed="false">
      <c r="A41" s="63" t="s">
        <v>647</v>
      </c>
      <c r="B41" s="64" t="s">
        <v>648</v>
      </c>
      <c r="C41" s="65" t="n">
        <v>2</v>
      </c>
      <c r="D41" s="65" t="n">
        <f aca="false">C41*2</f>
        <v>4</v>
      </c>
      <c r="E41" s="65"/>
      <c r="F41" s="65" t="str">
        <f aca="false">IF(E41="","",D41-E41)</f>
        <v/>
      </c>
      <c r="G41" s="64"/>
    </row>
    <row r="42" customFormat="false" ht="15" hidden="false" customHeight="true" outlineLevel="0" collapsed="false">
      <c r="A42" s="60" t="s">
        <v>649</v>
      </c>
      <c r="B42" s="61" t="s">
        <v>650</v>
      </c>
      <c r="C42" s="62" t="n">
        <v>1</v>
      </c>
      <c r="D42" s="62" t="n">
        <f aca="false">C42*2</f>
        <v>2</v>
      </c>
      <c r="E42" s="62"/>
      <c r="F42" s="62" t="str">
        <f aca="false">IF(E42="","",D42-E42)</f>
        <v/>
      </c>
      <c r="G42" s="61"/>
    </row>
    <row r="43" customFormat="false" ht="15" hidden="false" customHeight="true" outlineLevel="0" collapsed="false">
      <c r="A43" s="63" t="s">
        <v>651</v>
      </c>
      <c r="B43" s="64" t="s">
        <v>652</v>
      </c>
      <c r="C43" s="65" t="n">
        <v>1</v>
      </c>
      <c r="D43" s="65" t="n">
        <f aca="false">C43*2</f>
        <v>2</v>
      </c>
      <c r="E43" s="65"/>
      <c r="F43" s="65" t="str">
        <f aca="false">IF(E43="","",D43-E43)</f>
        <v/>
      </c>
      <c r="G43" s="64"/>
    </row>
    <row r="44" customFormat="false" ht="15" hidden="false" customHeight="true" outlineLevel="0" collapsed="false">
      <c r="A44" s="60" t="s">
        <v>653</v>
      </c>
      <c r="B44" s="61" t="s">
        <v>654</v>
      </c>
      <c r="C44" s="62" t="n">
        <v>1</v>
      </c>
      <c r="D44" s="62" t="n">
        <f aca="false">C44*2</f>
        <v>2</v>
      </c>
      <c r="E44" s="62"/>
      <c r="F44" s="62" t="str">
        <f aca="false">IF(E44="","",D44-E44)</f>
        <v/>
      </c>
      <c r="G44" s="61"/>
    </row>
    <row r="45" customFormat="false" ht="15" hidden="false" customHeight="true" outlineLevel="0" collapsed="false">
      <c r="A45" s="63" t="s">
        <v>655</v>
      </c>
      <c r="B45" s="64" t="s">
        <v>656</v>
      </c>
      <c r="C45" s="65" t="n">
        <v>2</v>
      </c>
      <c r="D45" s="65" t="n">
        <f aca="false">C45*2</f>
        <v>4</v>
      </c>
      <c r="E45" s="65"/>
      <c r="F45" s="65" t="str">
        <f aca="false">IF(E45="","",D45-E45)</f>
        <v/>
      </c>
      <c r="G45" s="64"/>
    </row>
    <row r="46" customFormat="false" ht="15" hidden="false" customHeight="true" outlineLevel="0" collapsed="false">
      <c r="A46" s="60" t="s">
        <v>657</v>
      </c>
      <c r="B46" s="61" t="s">
        <v>658</v>
      </c>
      <c r="C46" s="62" t="n">
        <v>2</v>
      </c>
      <c r="D46" s="62" t="n">
        <f aca="false">C46*2</f>
        <v>4</v>
      </c>
      <c r="E46" s="62"/>
      <c r="F46" s="62" t="str">
        <f aca="false">IF(E46="","",D46-E46)</f>
        <v/>
      </c>
      <c r="G46" s="61"/>
    </row>
    <row r="47" customFormat="false" ht="15" hidden="false" customHeight="true" outlineLevel="0" collapsed="false">
      <c r="A47" s="63" t="s">
        <v>659</v>
      </c>
      <c r="B47" s="64" t="s">
        <v>660</v>
      </c>
      <c r="C47" s="65" t="n">
        <v>1</v>
      </c>
      <c r="D47" s="65" t="n">
        <f aca="false">C47*2</f>
        <v>2</v>
      </c>
      <c r="E47" s="65"/>
      <c r="F47" s="65" t="str">
        <f aca="false">IF(E47="","",D47-E47)</f>
        <v/>
      </c>
      <c r="G47" s="64"/>
    </row>
    <row r="48" customFormat="false" ht="15" hidden="false" customHeight="true" outlineLevel="0" collapsed="false">
      <c r="A48" s="60" t="s">
        <v>189</v>
      </c>
      <c r="B48" s="61" t="s">
        <v>661</v>
      </c>
      <c r="C48" s="62" t="n">
        <v>3</v>
      </c>
      <c r="D48" s="62" t="n">
        <f aca="false">C48*2</f>
        <v>6</v>
      </c>
      <c r="E48" s="62"/>
      <c r="F48" s="62" t="str">
        <f aca="false">IF(E48="","",D48-E48)</f>
        <v/>
      </c>
      <c r="G48" s="61"/>
    </row>
    <row r="49" customFormat="false" ht="15" hidden="false" customHeight="true" outlineLevel="0" collapsed="false">
      <c r="A49" s="63" t="s">
        <v>662</v>
      </c>
      <c r="B49" s="64" t="s">
        <v>663</v>
      </c>
      <c r="C49" s="65" t="n">
        <v>1</v>
      </c>
      <c r="D49" s="65" t="n">
        <f aca="false">C49*2</f>
        <v>2</v>
      </c>
      <c r="E49" s="65"/>
      <c r="F49" s="65" t="str">
        <f aca="false">IF(E49="","",D49-E49)</f>
        <v/>
      </c>
      <c r="G49" s="64"/>
    </row>
    <row r="50" customFormat="false" ht="15" hidden="false" customHeight="true" outlineLevel="0" collapsed="false">
      <c r="A50" s="39" t="s">
        <v>664</v>
      </c>
      <c r="B50" s="40"/>
      <c r="C50" s="40"/>
      <c r="D50" s="40"/>
      <c r="E50" s="40"/>
      <c r="F50" s="40"/>
      <c r="G50" s="40"/>
    </row>
    <row r="51" customFormat="false" ht="15" hidden="false" customHeight="true" outlineLevel="0" collapsed="false">
      <c r="A51" s="63" t="s">
        <v>665</v>
      </c>
      <c r="B51" s="64" t="s">
        <v>666</v>
      </c>
      <c r="C51" s="65" t="n">
        <v>1</v>
      </c>
      <c r="D51" s="65" t="n">
        <f aca="false">C51*2</f>
        <v>2</v>
      </c>
      <c r="E51" s="65"/>
      <c r="F51" s="65" t="str">
        <f aca="false">IF(E51="","",D51-E51)</f>
        <v/>
      </c>
      <c r="G51" s="64"/>
    </row>
    <row r="52" customFormat="false" ht="15" hidden="false" customHeight="true" outlineLevel="0" collapsed="false">
      <c r="A52" s="60" t="s">
        <v>667</v>
      </c>
      <c r="B52" s="61" t="s">
        <v>668</v>
      </c>
      <c r="C52" s="62" t="n">
        <v>2</v>
      </c>
      <c r="D52" s="62" t="n">
        <f aca="false">C52*2</f>
        <v>4</v>
      </c>
      <c r="E52" s="62"/>
      <c r="F52" s="62" t="str">
        <f aca="false">IF(E52="","",D52-E52)</f>
        <v/>
      </c>
      <c r="G52" s="61"/>
    </row>
    <row r="53" customFormat="false" ht="15" hidden="false" customHeight="true" outlineLevel="0" collapsed="false">
      <c r="A53" s="63" t="s">
        <v>245</v>
      </c>
      <c r="B53" s="64" t="s">
        <v>244</v>
      </c>
      <c r="C53" s="65" t="n">
        <v>2</v>
      </c>
      <c r="D53" s="65" t="n">
        <f aca="false">C53*2</f>
        <v>4</v>
      </c>
      <c r="E53" s="65"/>
      <c r="F53" s="65" t="str">
        <f aca="false">IF(E53="","",D53-E53)</f>
        <v/>
      </c>
      <c r="G53" s="64"/>
    </row>
    <row r="54" customFormat="false" ht="15" hidden="false" customHeight="true" outlineLevel="0" collapsed="false">
      <c r="A54" s="60" t="s">
        <v>669</v>
      </c>
      <c r="B54" s="61" t="s">
        <v>670</v>
      </c>
      <c r="C54" s="62" t="n">
        <v>4</v>
      </c>
      <c r="D54" s="62" t="n">
        <f aca="false">C54*2</f>
        <v>8</v>
      </c>
      <c r="E54" s="62"/>
      <c r="F54" s="62" t="str">
        <f aca="false">IF(E54="","",D54-E54)</f>
        <v/>
      </c>
      <c r="G54" s="61"/>
    </row>
    <row r="55" customFormat="false" ht="15" hidden="false" customHeight="true" outlineLevel="0" collapsed="false">
      <c r="A55" s="63" t="s">
        <v>671</v>
      </c>
      <c r="B55" s="64" t="s">
        <v>672</v>
      </c>
      <c r="C55" s="65" t="n">
        <v>1</v>
      </c>
      <c r="D55" s="65" t="n">
        <f aca="false">C55*2</f>
        <v>2</v>
      </c>
      <c r="E55" s="65"/>
      <c r="F55" s="65" t="str">
        <f aca="false">IF(E55="","",D55-E55)</f>
        <v/>
      </c>
      <c r="G55" s="64"/>
    </row>
    <row r="56" customFormat="false" ht="15" hidden="false" customHeight="true" outlineLevel="0" collapsed="false">
      <c r="A56" s="60" t="s">
        <v>673</v>
      </c>
      <c r="B56" s="61" t="s">
        <v>674</v>
      </c>
      <c r="C56" s="62" t="n">
        <v>1</v>
      </c>
      <c r="D56" s="62" t="n">
        <f aca="false">C56*2</f>
        <v>2</v>
      </c>
      <c r="E56" s="62"/>
      <c r="F56" s="62" t="str">
        <f aca="false">IF(E56="","",D56-E56)</f>
        <v/>
      </c>
      <c r="G56" s="61"/>
    </row>
    <row r="57" customFormat="false" ht="15" hidden="false" customHeight="true" outlineLevel="0" collapsed="false">
      <c r="A57" s="63" t="s">
        <v>675</v>
      </c>
      <c r="B57" s="64" t="s">
        <v>676</v>
      </c>
      <c r="C57" s="65" t="n">
        <v>1</v>
      </c>
      <c r="D57" s="65" t="n">
        <f aca="false">C57*2</f>
        <v>2</v>
      </c>
      <c r="E57" s="65"/>
      <c r="F57" s="65" t="str">
        <f aca="false">IF(E57="","",D57-E57)</f>
        <v/>
      </c>
      <c r="G57" s="64"/>
    </row>
    <row r="58" customFormat="false" ht="15" hidden="false" customHeight="true" outlineLevel="0" collapsed="false">
      <c r="A58" s="60" t="s">
        <v>677</v>
      </c>
      <c r="B58" s="61" t="s">
        <v>678</v>
      </c>
      <c r="C58" s="62" t="n">
        <v>1</v>
      </c>
      <c r="D58" s="62" t="n">
        <f aca="false">C58*2</f>
        <v>2</v>
      </c>
      <c r="E58" s="62"/>
      <c r="F58" s="62" t="str">
        <f aca="false">IF(E58="","",D58-E58)</f>
        <v/>
      </c>
      <c r="G58" s="61"/>
    </row>
    <row r="59" customFormat="false" ht="15" hidden="false" customHeight="true" outlineLevel="0" collapsed="false">
      <c r="A59" s="63" t="s">
        <v>679</v>
      </c>
      <c r="B59" s="64" t="s">
        <v>680</v>
      </c>
      <c r="C59" s="65" t="n">
        <v>2</v>
      </c>
      <c r="D59" s="65" t="n">
        <f aca="false">C59*2</f>
        <v>4</v>
      </c>
      <c r="E59" s="65"/>
      <c r="F59" s="65" t="str">
        <f aca="false">IF(E59="","",D59-E59)</f>
        <v/>
      </c>
      <c r="G59" s="64"/>
    </row>
    <row r="60" customFormat="false" ht="15" hidden="false" customHeight="true" outlineLevel="0" collapsed="false">
      <c r="A60" s="60" t="s">
        <v>681</v>
      </c>
      <c r="B60" s="61" t="s">
        <v>682</v>
      </c>
      <c r="C60" s="62" t="n">
        <v>1</v>
      </c>
      <c r="D60" s="62" t="n">
        <f aca="false">C60*2</f>
        <v>2</v>
      </c>
      <c r="E60" s="62"/>
      <c r="F60" s="62" t="str">
        <f aca="false">IF(E60="","",D60-E60)</f>
        <v/>
      </c>
      <c r="G60" s="61"/>
    </row>
    <row r="61" customFormat="false" ht="15" hidden="false" customHeight="true" outlineLevel="0" collapsed="false">
      <c r="A61" s="63" t="s">
        <v>683</v>
      </c>
      <c r="B61" s="64" t="s">
        <v>684</v>
      </c>
      <c r="C61" s="65" t="n">
        <v>3</v>
      </c>
      <c r="D61" s="65" t="n">
        <f aca="false">C61*2</f>
        <v>6</v>
      </c>
      <c r="E61" s="65"/>
      <c r="F61" s="65" t="str">
        <f aca="false">IF(E61="","",D61-E61)</f>
        <v/>
      </c>
      <c r="G61" s="64"/>
    </row>
    <row r="62" customFormat="false" ht="15" hidden="false" customHeight="true" outlineLevel="0" collapsed="false">
      <c r="A62" s="60" t="s">
        <v>685</v>
      </c>
      <c r="B62" s="61" t="s">
        <v>686</v>
      </c>
      <c r="C62" s="62" t="n">
        <v>2</v>
      </c>
      <c r="D62" s="62" t="n">
        <f aca="false">C62*2</f>
        <v>4</v>
      </c>
      <c r="E62" s="62"/>
      <c r="F62" s="62" t="str">
        <f aca="false">IF(E62="","",D62-E62)</f>
        <v/>
      </c>
      <c r="G62" s="61"/>
    </row>
    <row r="63" customFormat="false" ht="15" hidden="false" customHeight="true" outlineLevel="0" collapsed="false">
      <c r="A63" s="63" t="s">
        <v>687</v>
      </c>
      <c r="B63" s="64" t="s">
        <v>688</v>
      </c>
      <c r="C63" s="65" t="n">
        <v>1</v>
      </c>
      <c r="D63" s="65" t="n">
        <f aca="false">C63*2</f>
        <v>2</v>
      </c>
      <c r="E63" s="65"/>
      <c r="F63" s="65" t="str">
        <f aca="false">IF(E63="","",D63-E63)</f>
        <v/>
      </c>
      <c r="G63" s="64"/>
    </row>
    <row r="64" customFormat="false" ht="15" hidden="false" customHeight="true" outlineLevel="0" collapsed="false">
      <c r="A64" s="60" t="s">
        <v>689</v>
      </c>
      <c r="B64" s="61" t="s">
        <v>690</v>
      </c>
      <c r="C64" s="62" t="n">
        <v>1</v>
      </c>
      <c r="D64" s="62" t="n">
        <f aca="false">C64*2</f>
        <v>2</v>
      </c>
      <c r="E64" s="62"/>
      <c r="F64" s="62" t="str">
        <f aca="false">IF(E64="","",D64-E64)</f>
        <v/>
      </c>
      <c r="G64" s="61"/>
    </row>
    <row r="65" customFormat="false" ht="15" hidden="false" customHeight="true" outlineLevel="0" collapsed="false">
      <c r="A65" s="63" t="s">
        <v>691</v>
      </c>
      <c r="B65" s="64" t="s">
        <v>692</v>
      </c>
      <c r="C65" s="65" t="n">
        <v>1</v>
      </c>
      <c r="D65" s="65" t="n">
        <f aca="false">C65*2</f>
        <v>2</v>
      </c>
      <c r="E65" s="65"/>
      <c r="F65" s="65" t="str">
        <f aca="false">IF(E65="","",D65-E65)</f>
        <v/>
      </c>
      <c r="G65" s="64"/>
    </row>
    <row r="66" customFormat="false" ht="15" hidden="false" customHeight="true" outlineLevel="0" collapsed="false">
      <c r="A66" s="60" t="s">
        <v>693</v>
      </c>
      <c r="B66" s="61" t="s">
        <v>694</v>
      </c>
      <c r="C66" s="62" t="n">
        <v>3</v>
      </c>
      <c r="D66" s="62" t="n">
        <f aca="false">C66*2</f>
        <v>6</v>
      </c>
      <c r="E66" s="62"/>
      <c r="F66" s="62" t="str">
        <f aca="false">IF(E66="","",D66-E66)</f>
        <v/>
      </c>
      <c r="G66" s="61"/>
    </row>
    <row r="67" customFormat="false" ht="15" hidden="false" customHeight="true" outlineLevel="0" collapsed="false">
      <c r="A67" s="63" t="s">
        <v>695</v>
      </c>
      <c r="B67" s="64" t="s">
        <v>696</v>
      </c>
      <c r="C67" s="65" t="n">
        <v>2</v>
      </c>
      <c r="D67" s="65" t="n">
        <f aca="false">C67*2</f>
        <v>4</v>
      </c>
      <c r="E67" s="65"/>
      <c r="F67" s="65" t="str">
        <f aca="false">IF(E67="","",D67-E67)</f>
        <v/>
      </c>
      <c r="G67" s="64"/>
    </row>
    <row r="68" customFormat="false" ht="15" hidden="false" customHeight="true" outlineLevel="0" collapsed="false">
      <c r="A68" s="60" t="s">
        <v>697</v>
      </c>
      <c r="B68" s="61" t="s">
        <v>698</v>
      </c>
      <c r="C68" s="62" t="n">
        <v>1</v>
      </c>
      <c r="D68" s="62" t="n">
        <f aca="false">C68*2</f>
        <v>2</v>
      </c>
      <c r="E68" s="62"/>
      <c r="F68" s="62" t="str">
        <f aca="false">IF(E68="","",D68-E68)</f>
        <v/>
      </c>
      <c r="G68" s="61"/>
    </row>
    <row r="69" customFormat="false" ht="15" hidden="false" customHeight="true" outlineLevel="0" collapsed="false">
      <c r="A69" s="63" t="s">
        <v>699</v>
      </c>
      <c r="B69" s="64" t="s">
        <v>700</v>
      </c>
      <c r="C69" s="65" t="n">
        <v>1</v>
      </c>
      <c r="D69" s="65" t="n">
        <f aca="false">C69*2</f>
        <v>2</v>
      </c>
      <c r="E69" s="65"/>
      <c r="F69" s="65" t="str">
        <f aca="false">IF(E69="","",D69-E69)</f>
        <v/>
      </c>
      <c r="G69" s="64"/>
    </row>
    <row r="70" customFormat="false" ht="15" hidden="false" customHeight="true" outlineLevel="0" collapsed="false">
      <c r="A70" s="60" t="s">
        <v>701</v>
      </c>
      <c r="B70" s="61" t="s">
        <v>702</v>
      </c>
      <c r="C70" s="62" t="n">
        <v>1</v>
      </c>
      <c r="D70" s="62" t="n">
        <f aca="false">C70*2</f>
        <v>2</v>
      </c>
      <c r="E70" s="62"/>
      <c r="F70" s="62" t="str">
        <f aca="false">IF(E70="","",D70-E70)</f>
        <v/>
      </c>
      <c r="G70" s="61"/>
    </row>
    <row r="71" customFormat="false" ht="15" hidden="false" customHeight="true" outlineLevel="0" collapsed="false">
      <c r="A71" s="63" t="s">
        <v>703</v>
      </c>
      <c r="B71" s="64" t="s">
        <v>704</v>
      </c>
      <c r="C71" s="65" t="n">
        <v>1</v>
      </c>
      <c r="D71" s="65" t="n">
        <f aca="false">C71*2</f>
        <v>2</v>
      </c>
      <c r="E71" s="65"/>
      <c r="F71" s="65" t="str">
        <f aca="false">IF(E71="","",D71-E71)</f>
        <v/>
      </c>
      <c r="G71" s="64"/>
    </row>
    <row r="72" customFormat="false" ht="15" hidden="false" customHeight="true" outlineLevel="0" collapsed="false">
      <c r="A72" s="39" t="s">
        <v>705</v>
      </c>
      <c r="B72" s="40"/>
      <c r="C72" s="40"/>
      <c r="D72" s="40"/>
      <c r="E72" s="40"/>
      <c r="F72" s="40"/>
      <c r="G72" s="40"/>
    </row>
    <row r="73" customFormat="false" ht="15" hidden="false" customHeight="true" outlineLevel="0" collapsed="false">
      <c r="A73" s="63" t="s">
        <v>706</v>
      </c>
      <c r="B73" s="64" t="s">
        <v>707</v>
      </c>
      <c r="C73" s="65" t="n">
        <v>1</v>
      </c>
      <c r="D73" s="65" t="n">
        <f aca="false">C73*2</f>
        <v>2</v>
      </c>
      <c r="E73" s="65"/>
      <c r="F73" s="65" t="str">
        <f aca="false">IF(E73="","",D73-E73)</f>
        <v/>
      </c>
      <c r="G73" s="64"/>
    </row>
    <row r="74" customFormat="false" ht="15" hidden="false" customHeight="true" outlineLevel="0" collapsed="false">
      <c r="A74" s="60" t="s">
        <v>708</v>
      </c>
      <c r="B74" s="61" t="s">
        <v>709</v>
      </c>
      <c r="C74" s="62" t="n">
        <v>4</v>
      </c>
      <c r="D74" s="62" t="n">
        <f aca="false">C74*2</f>
        <v>8</v>
      </c>
      <c r="E74" s="62"/>
      <c r="F74" s="62" t="str">
        <f aca="false">IF(E74="","",D74-E74)</f>
        <v/>
      </c>
      <c r="G74" s="61"/>
    </row>
    <row r="75" customFormat="false" ht="15" hidden="false" customHeight="true" outlineLevel="0" collapsed="false">
      <c r="A75" s="63" t="s">
        <v>710</v>
      </c>
      <c r="B75" s="64" t="s">
        <v>711</v>
      </c>
      <c r="C75" s="65" t="n">
        <v>4</v>
      </c>
      <c r="D75" s="65" t="n">
        <f aca="false">C75*2</f>
        <v>8</v>
      </c>
      <c r="E75" s="65"/>
      <c r="F75" s="65" t="str">
        <f aca="false">IF(E75="","",D75-E75)</f>
        <v/>
      </c>
      <c r="G75" s="64"/>
    </row>
    <row r="76" customFormat="false" ht="15" hidden="false" customHeight="true" outlineLevel="0" collapsed="false">
      <c r="A76" s="60" t="s">
        <v>712</v>
      </c>
      <c r="B76" s="61" t="s">
        <v>713</v>
      </c>
      <c r="C76" s="62" t="n">
        <v>2</v>
      </c>
      <c r="D76" s="62" t="n">
        <f aca="false">C76*2</f>
        <v>4</v>
      </c>
      <c r="E76" s="62"/>
      <c r="F76" s="62" t="str">
        <f aca="false">IF(E76="","",D76-E76)</f>
        <v/>
      </c>
      <c r="G76" s="61"/>
    </row>
    <row r="77" customFormat="false" ht="15" hidden="false" customHeight="true" outlineLevel="0" collapsed="false">
      <c r="A77" s="63" t="s">
        <v>714</v>
      </c>
      <c r="B77" s="64" t="s">
        <v>715</v>
      </c>
      <c r="C77" s="65" t="n">
        <v>1</v>
      </c>
      <c r="D77" s="65" t="n">
        <f aca="false">C77*2</f>
        <v>2</v>
      </c>
      <c r="E77" s="65"/>
      <c r="F77" s="65" t="str">
        <f aca="false">IF(E77="","",D77-E77)</f>
        <v/>
      </c>
      <c r="G77" s="64"/>
    </row>
    <row r="78" customFormat="false" ht="15" hidden="false" customHeight="true" outlineLevel="0" collapsed="false">
      <c r="A78" s="60" t="s">
        <v>716</v>
      </c>
      <c r="B78" s="61" t="s">
        <v>717</v>
      </c>
      <c r="C78" s="62" t="n">
        <v>2</v>
      </c>
      <c r="D78" s="62" t="n">
        <f aca="false">C78*2</f>
        <v>4</v>
      </c>
      <c r="E78" s="62"/>
      <c r="F78" s="62" t="str">
        <f aca="false">IF(E78="","",D78-E78)</f>
        <v/>
      </c>
      <c r="G78" s="61"/>
    </row>
    <row r="79" customFormat="false" ht="15" hidden="false" customHeight="true" outlineLevel="0" collapsed="false">
      <c r="A79" s="63" t="s">
        <v>718</v>
      </c>
      <c r="B79" s="64" t="s">
        <v>719</v>
      </c>
      <c r="C79" s="65" t="n">
        <v>2</v>
      </c>
      <c r="D79" s="65" t="n">
        <f aca="false">C79*2</f>
        <v>4</v>
      </c>
      <c r="E79" s="65"/>
      <c r="F79" s="65" t="str">
        <f aca="false">IF(E79="","",D79-E79)</f>
        <v/>
      </c>
      <c r="G79" s="64"/>
    </row>
    <row r="80" customFormat="false" ht="15" hidden="false" customHeight="true" outlineLevel="0" collapsed="false">
      <c r="A80" s="60" t="s">
        <v>720</v>
      </c>
      <c r="B80" s="61" t="s">
        <v>721</v>
      </c>
      <c r="C80" s="62" t="n">
        <v>3</v>
      </c>
      <c r="D80" s="62" t="n">
        <f aca="false">C80*2</f>
        <v>6</v>
      </c>
      <c r="E80" s="62"/>
      <c r="F80" s="62" t="str">
        <f aca="false">IF(E80="","",D80-E80)</f>
        <v/>
      </c>
      <c r="G80" s="61"/>
    </row>
    <row r="81" customFormat="false" ht="15" hidden="false" customHeight="true" outlineLevel="0" collapsed="false">
      <c r="A81" s="63" t="s">
        <v>722</v>
      </c>
      <c r="B81" s="64" t="s">
        <v>723</v>
      </c>
      <c r="C81" s="65" t="n">
        <v>1</v>
      </c>
      <c r="D81" s="65" t="n">
        <f aca="false">C81*2</f>
        <v>2</v>
      </c>
      <c r="E81" s="65"/>
      <c r="F81" s="65" t="str">
        <f aca="false">IF(E81="","",D81-E81)</f>
        <v/>
      </c>
      <c r="G81" s="64"/>
    </row>
    <row r="82" customFormat="false" ht="15" hidden="false" customHeight="true" outlineLevel="0" collapsed="false">
      <c r="A82" s="60" t="s">
        <v>724</v>
      </c>
      <c r="B82" s="61" t="s">
        <v>725</v>
      </c>
      <c r="C82" s="62" t="n">
        <v>4</v>
      </c>
      <c r="D82" s="62" t="n">
        <f aca="false">C82*2</f>
        <v>8</v>
      </c>
      <c r="E82" s="62"/>
      <c r="F82" s="62" t="str">
        <f aca="false">IF(E82="","",D82-E82)</f>
        <v/>
      </c>
      <c r="G82" s="61"/>
    </row>
    <row r="83" customFormat="false" ht="15" hidden="false" customHeight="true" outlineLevel="0" collapsed="false">
      <c r="A83" s="39" t="s">
        <v>726</v>
      </c>
      <c r="B83" s="40"/>
      <c r="C83" s="40"/>
      <c r="D83" s="40"/>
      <c r="E83" s="40"/>
      <c r="F83" s="40"/>
      <c r="G83" s="40"/>
    </row>
    <row r="84" customFormat="false" ht="15" hidden="false" customHeight="true" outlineLevel="0" collapsed="false">
      <c r="A84" s="60" t="s">
        <v>727</v>
      </c>
      <c r="B84" s="61" t="s">
        <v>728</v>
      </c>
      <c r="C84" s="62" t="n">
        <v>1</v>
      </c>
      <c r="D84" s="62" t="n">
        <f aca="false">C84*2</f>
        <v>2</v>
      </c>
      <c r="E84" s="62"/>
      <c r="F84" s="62" t="str">
        <f aca="false">IF(E84="","",D84-E84)</f>
        <v/>
      </c>
      <c r="G84" s="61"/>
    </row>
    <row r="85" customFormat="false" ht="15" hidden="false" customHeight="true" outlineLevel="0" collapsed="false">
      <c r="A85" s="63" t="s">
        <v>223</v>
      </c>
      <c r="B85" s="64" t="s">
        <v>729</v>
      </c>
      <c r="C85" s="65" t="n">
        <v>1</v>
      </c>
      <c r="D85" s="65" t="n">
        <f aca="false">C85*2</f>
        <v>2</v>
      </c>
      <c r="E85" s="65"/>
      <c r="F85" s="65" t="str">
        <f aca="false">IF(E85="","",D85-E85)</f>
        <v/>
      </c>
      <c r="G85" s="64"/>
    </row>
    <row r="86" customFormat="false" ht="15" hidden="false" customHeight="true" outlineLevel="0" collapsed="false">
      <c r="A86" s="60" t="s">
        <v>730</v>
      </c>
      <c r="B86" s="61" t="s">
        <v>731</v>
      </c>
      <c r="C86" s="62" t="n">
        <v>1</v>
      </c>
      <c r="D86" s="62" t="n">
        <f aca="false">C86*2</f>
        <v>2</v>
      </c>
      <c r="E86" s="62"/>
      <c r="F86" s="62" t="str">
        <f aca="false">IF(E86="","",D86-E86)</f>
        <v/>
      </c>
      <c r="G86" s="61"/>
    </row>
    <row r="87" customFormat="false" ht="15" hidden="false" customHeight="true" outlineLevel="0" collapsed="false">
      <c r="A87" s="39" t="s">
        <v>732</v>
      </c>
      <c r="B87" s="40"/>
      <c r="C87" s="40"/>
      <c r="D87" s="40"/>
      <c r="E87" s="40"/>
      <c r="F87" s="40"/>
      <c r="G87" s="40"/>
    </row>
    <row r="88" customFormat="false" ht="15" hidden="false" customHeight="true" outlineLevel="0" collapsed="false">
      <c r="A88" s="60" t="s">
        <v>733</v>
      </c>
      <c r="B88" s="61" t="s">
        <v>734</v>
      </c>
      <c r="C88" s="62" t="n">
        <v>1</v>
      </c>
      <c r="D88" s="62" t="n">
        <f aca="false">C88*2</f>
        <v>2</v>
      </c>
      <c r="E88" s="62"/>
      <c r="F88" s="62" t="str">
        <f aca="false">IF(E88="","",D88-E88)</f>
        <v/>
      </c>
      <c r="G88" s="61"/>
    </row>
    <row r="89" customFormat="false" ht="15" hidden="false" customHeight="true" outlineLevel="0" collapsed="false">
      <c r="A89" s="63" t="s">
        <v>735</v>
      </c>
      <c r="B89" s="64" t="s">
        <v>736</v>
      </c>
      <c r="C89" s="65" t="n">
        <v>1</v>
      </c>
      <c r="D89" s="65" t="n">
        <f aca="false">C89*2</f>
        <v>2</v>
      </c>
      <c r="E89" s="65"/>
      <c r="F89" s="65" t="str">
        <f aca="false">IF(E89="","",D89-E89)</f>
        <v/>
      </c>
      <c r="G89" s="64"/>
    </row>
    <row r="90" customFormat="false" ht="15" hidden="false" customHeight="true" outlineLevel="0" collapsed="false">
      <c r="A90" s="60" t="s">
        <v>737</v>
      </c>
      <c r="B90" s="61" t="s">
        <v>738</v>
      </c>
      <c r="C90" s="62" t="n">
        <v>1</v>
      </c>
      <c r="D90" s="62" t="n">
        <f aca="false">C90*2</f>
        <v>2</v>
      </c>
      <c r="E90" s="62"/>
      <c r="F90" s="62" t="str">
        <f aca="false">IF(E90="","",D90-E90)</f>
        <v/>
      </c>
      <c r="G90" s="61"/>
    </row>
    <row r="91" customFormat="false" ht="15" hidden="false" customHeight="true" outlineLevel="0" collapsed="false">
      <c r="A91" s="63" t="s">
        <v>739</v>
      </c>
      <c r="B91" s="64" t="s">
        <v>740</v>
      </c>
      <c r="C91" s="65" t="n">
        <v>1</v>
      </c>
      <c r="D91" s="65" t="n">
        <f aca="false">C91*2</f>
        <v>2</v>
      </c>
      <c r="E91" s="65"/>
      <c r="F91" s="65" t="str">
        <f aca="false">IF(E91="","",D91-E91)</f>
        <v/>
      </c>
      <c r="G91" s="64"/>
    </row>
    <row r="92" customFormat="false" ht="15" hidden="false" customHeight="true" outlineLevel="0" collapsed="false">
      <c r="A92" s="39" t="s">
        <v>741</v>
      </c>
      <c r="B92" s="40"/>
      <c r="C92" s="40"/>
      <c r="D92" s="40"/>
      <c r="E92" s="40"/>
      <c r="F92" s="40"/>
      <c r="G92" s="40"/>
    </row>
    <row r="93" customFormat="false" ht="15" hidden="false" customHeight="true" outlineLevel="0" collapsed="false">
      <c r="A93" s="63" t="s">
        <v>742</v>
      </c>
      <c r="B93" s="64" t="s">
        <v>743</v>
      </c>
      <c r="C93" s="65" t="n">
        <v>1</v>
      </c>
      <c r="D93" s="65" t="n">
        <f aca="false">C93*2</f>
        <v>2</v>
      </c>
      <c r="E93" s="65"/>
      <c r="F93" s="65" t="str">
        <f aca="false">IF(E93="","",D93-E93)</f>
        <v/>
      </c>
      <c r="G93" s="64"/>
    </row>
    <row r="94" customFormat="false" ht="15" hidden="false" customHeight="true" outlineLevel="0" collapsed="false">
      <c r="A94" s="60" t="s">
        <v>744</v>
      </c>
      <c r="B94" s="61" t="s">
        <v>745</v>
      </c>
      <c r="C94" s="62" t="n">
        <v>4</v>
      </c>
      <c r="D94" s="62" t="n">
        <f aca="false">C94*2</f>
        <v>8</v>
      </c>
      <c r="E94" s="62"/>
      <c r="F94" s="62" t="str">
        <f aca="false">IF(E94="","",D94-E94)</f>
        <v/>
      </c>
      <c r="G94" s="61"/>
    </row>
    <row r="95" customFormat="false" ht="15" hidden="false" customHeight="true" outlineLevel="0" collapsed="false">
      <c r="A95" s="63" t="s">
        <v>746</v>
      </c>
      <c r="B95" s="64" t="s">
        <v>747</v>
      </c>
      <c r="C95" s="65" t="n">
        <v>2</v>
      </c>
      <c r="D95" s="65" t="n">
        <f aca="false">C95*2</f>
        <v>4</v>
      </c>
      <c r="E95" s="65"/>
      <c r="F95" s="65" t="str">
        <f aca="false">IF(E95="","",D95-E95)</f>
        <v/>
      </c>
      <c r="G95" s="64"/>
    </row>
    <row r="96" customFormat="false" ht="15" hidden="false" customHeight="true" outlineLevel="0" collapsed="false">
      <c r="A96" s="60" t="s">
        <v>180</v>
      </c>
      <c r="B96" s="61" t="s">
        <v>748</v>
      </c>
      <c r="C96" s="62" t="n">
        <v>2</v>
      </c>
      <c r="D96" s="62" t="n">
        <f aca="false">C96*2</f>
        <v>4</v>
      </c>
      <c r="E96" s="62"/>
      <c r="F96" s="62" t="str">
        <f aca="false">IF(E96="","",D96-E96)</f>
        <v/>
      </c>
      <c r="G96" s="61"/>
    </row>
    <row r="97" customFormat="false" ht="15" hidden="false" customHeight="true" outlineLevel="0" collapsed="false">
      <c r="A97" s="39" t="s">
        <v>749</v>
      </c>
      <c r="B97" s="40"/>
      <c r="C97" s="40"/>
      <c r="D97" s="40"/>
      <c r="E97" s="40"/>
      <c r="F97" s="40"/>
      <c r="G97" s="40"/>
    </row>
    <row r="98" customFormat="false" ht="15" hidden="false" customHeight="true" outlineLevel="0" collapsed="false">
      <c r="A98" s="60" t="s">
        <v>750</v>
      </c>
      <c r="B98" s="61" t="s">
        <v>751</v>
      </c>
      <c r="C98" s="62" t="n">
        <v>1</v>
      </c>
      <c r="D98" s="62" t="n">
        <f aca="false">C98*2</f>
        <v>2</v>
      </c>
      <c r="E98" s="62"/>
      <c r="F98" s="62" t="str">
        <f aca="false">IF(E98="","",D98-E98)</f>
        <v/>
      </c>
      <c r="G98" s="61"/>
    </row>
    <row r="99" customFormat="false" ht="15" hidden="false" customHeight="true" outlineLevel="0" collapsed="false">
      <c r="A99" s="63" t="s">
        <v>752</v>
      </c>
      <c r="B99" s="64" t="s">
        <v>753</v>
      </c>
      <c r="C99" s="65" t="n">
        <v>1</v>
      </c>
      <c r="D99" s="65" t="n">
        <f aca="false">C99*2</f>
        <v>2</v>
      </c>
      <c r="E99" s="65"/>
      <c r="F99" s="65" t="str">
        <f aca="false">IF(E99="","",D99-E99)</f>
        <v/>
      </c>
      <c r="G99" s="64"/>
    </row>
  </sheetData>
  <autoFilter ref="A4:G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3.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34"/>
  </cols>
  <sheetData>
    <row r="1" customFormat="false" ht="15.75" hidden="false" customHeight="true" outlineLevel="0" collapsed="false">
      <c r="A1" s="59" t="s">
        <v>754</v>
      </c>
    </row>
    <row r="2" customFormat="false" ht="15" hidden="false" customHeight="true" outlineLevel="0" collapsed="false">
      <c r="A2" s="37" t="s">
        <v>755</v>
      </c>
    </row>
    <row r="4" customFormat="false" ht="30" hidden="false" customHeight="true" outlineLevel="0" collapsed="false">
      <c r="A4" s="38" t="s">
        <v>571</v>
      </c>
      <c r="B4" s="38" t="s">
        <v>572</v>
      </c>
      <c r="C4" s="38" t="s">
        <v>573</v>
      </c>
      <c r="D4" s="38" t="s">
        <v>756</v>
      </c>
      <c r="E4" s="38" t="s">
        <v>575</v>
      </c>
      <c r="F4" s="38" t="s">
        <v>576</v>
      </c>
      <c r="G4" s="38" t="s">
        <v>577</v>
      </c>
    </row>
    <row r="5" customFormat="false" ht="15" hidden="false" customHeight="true" outlineLevel="0" collapsed="false">
      <c r="A5" s="39" t="s">
        <v>578</v>
      </c>
      <c r="B5" s="40"/>
      <c r="C5" s="40"/>
      <c r="D5" s="40"/>
      <c r="E5" s="40"/>
      <c r="F5" s="40"/>
      <c r="G5" s="40"/>
    </row>
    <row r="6" customFormat="false" ht="15" hidden="false" customHeight="true" outlineLevel="0" collapsed="false">
      <c r="A6" s="60" t="s">
        <v>757</v>
      </c>
      <c r="B6" s="61" t="s">
        <v>758</v>
      </c>
      <c r="C6" s="62" t="n">
        <v>2</v>
      </c>
      <c r="D6" s="62" t="n">
        <f aca="false">C6*1</f>
        <v>2</v>
      </c>
      <c r="E6" s="62"/>
      <c r="F6" s="62" t="str">
        <f aca="false">IF(E6="","",D6-E6)</f>
        <v/>
      </c>
      <c r="G6" s="61"/>
    </row>
    <row r="7" customFormat="false" ht="15" hidden="false" customHeight="true" outlineLevel="0" collapsed="false">
      <c r="A7" s="63" t="s">
        <v>759</v>
      </c>
      <c r="B7" s="64" t="s">
        <v>760</v>
      </c>
      <c r="C7" s="65" t="n">
        <v>2</v>
      </c>
      <c r="D7" s="65" t="n">
        <f aca="false">C7*1</f>
        <v>2</v>
      </c>
      <c r="E7" s="65"/>
      <c r="F7" s="65" t="str">
        <f aca="false">IF(E7="","",D7-E7)</f>
        <v/>
      </c>
      <c r="G7" s="64"/>
    </row>
    <row r="8" customFormat="false" ht="15" hidden="false" customHeight="true" outlineLevel="0" collapsed="false">
      <c r="A8" s="60" t="s">
        <v>761</v>
      </c>
      <c r="B8" s="61" t="s">
        <v>762</v>
      </c>
      <c r="C8" s="62" t="n">
        <v>8</v>
      </c>
      <c r="D8" s="62" t="n">
        <f aca="false">C8*1</f>
        <v>8</v>
      </c>
      <c r="E8" s="62"/>
      <c r="F8" s="62" t="str">
        <f aca="false">IF(E8="","",D8-E8)</f>
        <v/>
      </c>
      <c r="G8" s="61"/>
    </row>
    <row r="9" customFormat="false" ht="15" hidden="false" customHeight="true" outlineLevel="0" collapsed="false">
      <c r="A9" s="39" t="s">
        <v>763</v>
      </c>
      <c r="B9" s="40"/>
      <c r="C9" s="40"/>
      <c r="D9" s="40"/>
      <c r="E9" s="40"/>
      <c r="F9" s="40"/>
      <c r="G9" s="40"/>
    </row>
    <row r="10" customFormat="false" ht="15" hidden="false" customHeight="true" outlineLevel="0" collapsed="false">
      <c r="A10" s="60" t="s">
        <v>764</v>
      </c>
      <c r="B10" s="61" t="s">
        <v>765</v>
      </c>
      <c r="C10" s="62" t="n">
        <v>4</v>
      </c>
      <c r="D10" s="62" t="n">
        <f aca="false">C10*1</f>
        <v>4</v>
      </c>
      <c r="E10" s="62"/>
      <c r="F10" s="62" t="str">
        <f aca="false">IF(E10="","",D10-E10)</f>
        <v/>
      </c>
      <c r="G10" s="61"/>
    </row>
    <row r="11" customFormat="false" ht="15" hidden="false" customHeight="true" outlineLevel="0" collapsed="false">
      <c r="A11" s="63" t="s">
        <v>766</v>
      </c>
      <c r="B11" s="64" t="s">
        <v>767</v>
      </c>
      <c r="C11" s="65" t="n">
        <v>8</v>
      </c>
      <c r="D11" s="65" t="n">
        <f aca="false">C11*1</f>
        <v>8</v>
      </c>
      <c r="E11" s="65"/>
      <c r="F11" s="65" t="str">
        <f aca="false">IF(E11="","",D11-E11)</f>
        <v/>
      </c>
      <c r="G11" s="64"/>
    </row>
    <row r="12" customFormat="false" ht="15" hidden="false" customHeight="true" outlineLevel="0" collapsed="false">
      <c r="A12" s="60" t="s">
        <v>768</v>
      </c>
      <c r="B12" s="61" t="s">
        <v>769</v>
      </c>
      <c r="C12" s="62" t="n">
        <v>4</v>
      </c>
      <c r="D12" s="62" t="n">
        <f aca="false">C12*1</f>
        <v>4</v>
      </c>
      <c r="E12" s="62"/>
      <c r="F12" s="62" t="str">
        <f aca="false">IF(E12="","",D12-E12)</f>
        <v/>
      </c>
      <c r="G12" s="61"/>
    </row>
    <row r="13" customFormat="false" ht="15" hidden="false" customHeight="true" outlineLevel="0" collapsed="false">
      <c r="A13" s="63" t="s">
        <v>770</v>
      </c>
      <c r="B13" s="64" t="s">
        <v>771</v>
      </c>
      <c r="C13" s="65" t="n">
        <v>4</v>
      </c>
      <c r="D13" s="65" t="n">
        <f aca="false">C13*1</f>
        <v>4</v>
      </c>
      <c r="E13" s="65"/>
      <c r="F13" s="65" t="str">
        <f aca="false">IF(E13="","",D13-E13)</f>
        <v/>
      </c>
      <c r="G13" s="64"/>
    </row>
    <row r="14" customFormat="false" ht="15" hidden="false" customHeight="true" outlineLevel="0" collapsed="false">
      <c r="A14" s="60" t="s">
        <v>772</v>
      </c>
      <c r="B14" s="61" t="s">
        <v>773</v>
      </c>
      <c r="C14" s="62" t="n">
        <v>4</v>
      </c>
      <c r="D14" s="62" t="n">
        <f aca="false">C14*1</f>
        <v>4</v>
      </c>
      <c r="E14" s="62"/>
      <c r="F14" s="62" t="str">
        <f aca="false">IF(E14="","",D14-E14)</f>
        <v/>
      </c>
      <c r="G14" s="61"/>
    </row>
    <row r="15" customFormat="false" ht="15" hidden="false" customHeight="true" outlineLevel="0" collapsed="false">
      <c r="A15" s="63" t="s">
        <v>774</v>
      </c>
      <c r="B15" s="64" t="s">
        <v>775</v>
      </c>
      <c r="C15" s="65" t="n">
        <v>24</v>
      </c>
      <c r="D15" s="65" t="n">
        <f aca="false">C15*1</f>
        <v>24</v>
      </c>
      <c r="E15" s="65"/>
      <c r="F15" s="65" t="str">
        <f aca="false">IF(E15="","",D15-E15)</f>
        <v/>
      </c>
      <c r="G15" s="64"/>
    </row>
    <row r="16" customFormat="false" ht="15" hidden="false" customHeight="true" outlineLevel="0" collapsed="false">
      <c r="A16" s="39" t="s">
        <v>776</v>
      </c>
      <c r="B16" s="40"/>
      <c r="C16" s="40"/>
      <c r="D16" s="40"/>
      <c r="E16" s="40"/>
      <c r="F16" s="40"/>
      <c r="G16" s="40"/>
    </row>
    <row r="17" customFormat="false" ht="15" hidden="false" customHeight="true" outlineLevel="0" collapsed="false">
      <c r="A17" s="63" t="s">
        <v>777</v>
      </c>
      <c r="B17" s="64" t="s">
        <v>778</v>
      </c>
      <c r="C17" s="65" t="n">
        <v>4</v>
      </c>
      <c r="D17" s="65" t="n">
        <f aca="false">C17*1</f>
        <v>4</v>
      </c>
      <c r="E17" s="65"/>
      <c r="F17" s="65" t="str">
        <f aca="false">IF(E17="","",D17-E17)</f>
        <v/>
      </c>
      <c r="G17" s="64"/>
    </row>
    <row r="18" customFormat="false" ht="15" hidden="false" customHeight="true" outlineLevel="0" collapsed="false">
      <c r="A18" s="39" t="s">
        <v>779</v>
      </c>
      <c r="B18" s="40"/>
      <c r="C18" s="40"/>
      <c r="D18" s="40"/>
      <c r="E18" s="40"/>
      <c r="F18" s="40"/>
      <c r="G18" s="40"/>
    </row>
    <row r="19" customFormat="false" ht="15" hidden="false" customHeight="true" outlineLevel="0" collapsed="false">
      <c r="A19" s="63" t="s">
        <v>780</v>
      </c>
      <c r="B19" s="64" t="s">
        <v>781</v>
      </c>
      <c r="C19" s="65" t="n">
        <v>4</v>
      </c>
      <c r="D19" s="65" t="n">
        <f aca="false">C19*1</f>
        <v>4</v>
      </c>
      <c r="E19" s="65"/>
      <c r="F19" s="65" t="str">
        <f aca="false">IF(E19="","",D19-E19)</f>
        <v/>
      </c>
      <c r="G19" s="64"/>
    </row>
    <row r="20" customFormat="false" ht="15" hidden="false" customHeight="true" outlineLevel="0" collapsed="false">
      <c r="A20" s="60" t="s">
        <v>782</v>
      </c>
      <c r="B20" s="61" t="s">
        <v>783</v>
      </c>
      <c r="C20" s="62" t="n">
        <v>4</v>
      </c>
      <c r="D20" s="62" t="n">
        <f aca="false">C20*1</f>
        <v>4</v>
      </c>
      <c r="E20" s="62"/>
      <c r="F20" s="62" t="str">
        <f aca="false">IF(E20="","",D20-E20)</f>
        <v/>
      </c>
      <c r="G20" s="61"/>
    </row>
    <row r="21" customFormat="false" ht="15" hidden="false" customHeight="true" outlineLevel="0" collapsed="false">
      <c r="A21" s="63" t="s">
        <v>784</v>
      </c>
      <c r="B21" s="64" t="s">
        <v>785</v>
      </c>
      <c r="C21" s="65" t="n">
        <v>4</v>
      </c>
      <c r="D21" s="65" t="n">
        <f aca="false">C21*1</f>
        <v>4</v>
      </c>
      <c r="E21" s="65"/>
      <c r="F21" s="65" t="str">
        <f aca="false">IF(E21="","",D21-E21)</f>
        <v/>
      </c>
      <c r="G21" s="64"/>
    </row>
    <row r="22" customFormat="false" ht="15" hidden="false" customHeight="true" outlineLevel="0" collapsed="false">
      <c r="A22" s="39" t="s">
        <v>786</v>
      </c>
      <c r="B22" s="40"/>
      <c r="C22" s="40"/>
      <c r="D22" s="40"/>
      <c r="E22" s="40"/>
      <c r="F22" s="40"/>
      <c r="G22" s="40"/>
    </row>
    <row r="23" customFormat="false" ht="15" hidden="false" customHeight="true" outlineLevel="0" collapsed="false">
      <c r="A23" s="63" t="s">
        <v>787</v>
      </c>
      <c r="B23" s="64" t="s">
        <v>788</v>
      </c>
      <c r="C23" s="65" t="n">
        <v>29</v>
      </c>
      <c r="D23" s="65" t="n">
        <f aca="false">C23*1</f>
        <v>29</v>
      </c>
      <c r="E23" s="65"/>
      <c r="F23" s="65" t="str">
        <f aca="false">IF(E23="","",D23-E23)</f>
        <v/>
      </c>
      <c r="G23" s="64"/>
    </row>
    <row r="24" customFormat="false" ht="15" hidden="false" customHeight="true" outlineLevel="0" collapsed="false">
      <c r="A24" s="60" t="s">
        <v>789</v>
      </c>
      <c r="B24" s="61" t="s">
        <v>790</v>
      </c>
      <c r="C24" s="62" t="n">
        <v>75</v>
      </c>
      <c r="D24" s="62" t="n">
        <f aca="false">C24*1</f>
        <v>75</v>
      </c>
      <c r="E24" s="62"/>
      <c r="F24" s="62" t="str">
        <f aca="false">IF(E24="","",D24-E24)</f>
        <v/>
      </c>
      <c r="G24" s="61"/>
    </row>
    <row r="25" customFormat="false" ht="15" hidden="false" customHeight="true" outlineLevel="0" collapsed="false">
      <c r="A25" s="63" t="s">
        <v>791</v>
      </c>
      <c r="B25" s="64" t="s">
        <v>792</v>
      </c>
      <c r="C25" s="65" t="n">
        <v>25</v>
      </c>
      <c r="D25" s="65" t="n">
        <f aca="false">C25*1</f>
        <v>25</v>
      </c>
      <c r="E25" s="65"/>
      <c r="F25" s="65" t="str">
        <f aca="false">IF(E25="","",D25-E25)</f>
        <v/>
      </c>
      <c r="G25" s="64"/>
    </row>
    <row r="26" customFormat="false" ht="15" hidden="false" customHeight="true" outlineLevel="0" collapsed="false">
      <c r="A26" s="60" t="s">
        <v>793</v>
      </c>
      <c r="B26" s="61" t="s">
        <v>794</v>
      </c>
      <c r="C26" s="62" t="n">
        <v>1</v>
      </c>
      <c r="D26" s="62" t="n">
        <f aca="false">C26*1</f>
        <v>1</v>
      </c>
      <c r="E26" s="62"/>
      <c r="F26" s="62" t="str">
        <f aca="false">IF(E26="","",D26-E26)</f>
        <v/>
      </c>
      <c r="G26" s="61"/>
    </row>
  </sheetData>
  <autoFilter ref="A4:G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5"/>
  </cols>
  <sheetData>
    <row r="1" customFormat="false" ht="15.75" hidden="false" customHeight="true" outlineLevel="0" collapsed="false">
      <c r="A1" s="59" t="s">
        <v>795</v>
      </c>
    </row>
    <row r="3" customFormat="false" ht="15" hidden="false" customHeight="true" outlineLevel="0" collapsed="false">
      <c r="A3" s="66" t="s">
        <v>796</v>
      </c>
    </row>
    <row r="4" customFormat="false" ht="23.25" hidden="false" customHeight="true" outlineLevel="0" collapsed="false">
      <c r="A4" s="67"/>
      <c r="B4" s="68" t="s">
        <v>797</v>
      </c>
    </row>
    <row r="5" customFormat="false" ht="15" hidden="false" customHeight="true" outlineLevel="0" collapsed="false">
      <c r="A5" s="67"/>
      <c r="B5" s="68"/>
    </row>
    <row r="6" customFormat="false" ht="15" hidden="false" customHeight="true" outlineLevel="0" collapsed="false">
      <c r="A6" s="66" t="s">
        <v>798</v>
      </c>
    </row>
    <row r="7" customFormat="false" ht="15" hidden="false" customHeight="true" outlineLevel="0" collapsed="false">
      <c r="A7" s="67" t="s">
        <v>75</v>
      </c>
      <c r="B7" s="68" t="s">
        <v>799</v>
      </c>
    </row>
    <row r="8" customFormat="false" ht="15" hidden="false" customHeight="true" outlineLevel="0" collapsed="false">
      <c r="A8" s="67" t="s">
        <v>69</v>
      </c>
      <c r="B8" s="68" t="s">
        <v>800</v>
      </c>
    </row>
    <row r="9" customFormat="false" ht="23.25" hidden="false" customHeight="true" outlineLevel="0" collapsed="false">
      <c r="A9" s="67" t="s">
        <v>124</v>
      </c>
      <c r="B9" s="68" t="s">
        <v>801</v>
      </c>
    </row>
    <row r="10" customFormat="false" ht="15" hidden="false" customHeight="true" outlineLevel="0" collapsed="false">
      <c r="A10" s="67" t="s">
        <v>83</v>
      </c>
      <c r="B10" s="68" t="s">
        <v>802</v>
      </c>
    </row>
    <row r="11" customFormat="false" ht="15" hidden="false" customHeight="true" outlineLevel="0" collapsed="false">
      <c r="A11" s="67"/>
      <c r="B11" s="68"/>
    </row>
    <row r="12" customFormat="false" ht="15" hidden="false" customHeight="true" outlineLevel="0" collapsed="false">
      <c r="A12" s="66" t="s">
        <v>803</v>
      </c>
    </row>
    <row r="13" customFormat="false" ht="34.5" hidden="false" customHeight="true" outlineLevel="0" collapsed="false">
      <c r="A13" s="67"/>
      <c r="B13" s="68" t="s">
        <v>804</v>
      </c>
    </row>
    <row r="14" customFormat="false" ht="15" hidden="false" customHeight="true" outlineLevel="0" collapsed="false">
      <c r="A14" s="67"/>
      <c r="B14" s="68"/>
    </row>
    <row r="15" customFormat="false" ht="15" hidden="false" customHeight="true" outlineLevel="0" collapsed="false">
      <c r="A15" s="66" t="s">
        <v>805</v>
      </c>
    </row>
    <row r="16" customFormat="false" ht="23.25" hidden="false" customHeight="true" outlineLevel="0" collapsed="false">
      <c r="A16" s="67"/>
      <c r="B16" s="68" t="s">
        <v>806</v>
      </c>
    </row>
    <row r="17" customFormat="false" ht="15" hidden="false" customHeight="true" outlineLevel="0" collapsed="false">
      <c r="A17" s="67"/>
      <c r="B17" s="68"/>
    </row>
    <row r="18" customFormat="false" ht="15" hidden="false" customHeight="true" outlineLevel="0" collapsed="false">
      <c r="A18" s="66" t="s">
        <v>807</v>
      </c>
    </row>
    <row r="19" customFormat="false" ht="34.5" hidden="false" customHeight="true" outlineLevel="0" collapsed="false">
      <c r="A19" s="67"/>
      <c r="B19" s="68" t="s">
        <v>808</v>
      </c>
    </row>
    <row r="20" customFormat="false" ht="15" hidden="false" customHeight="true" outlineLevel="0" collapsed="false">
      <c r="A20" s="67"/>
      <c r="B20" s="68"/>
    </row>
    <row r="21" customFormat="false" ht="15" hidden="false" customHeight="true" outlineLevel="0" collapsed="false">
      <c r="A21" s="66" t="s">
        <v>809</v>
      </c>
    </row>
    <row r="22" customFormat="false" ht="23.25" hidden="false" customHeight="true" outlineLevel="0" collapsed="false">
      <c r="A22" s="67"/>
      <c r="B22" s="68" t="s">
        <v>810</v>
      </c>
    </row>
    <row r="24" customFormat="false" ht="15" hidden="false" customHeight="true" outlineLevel="0" collapsed="false">
      <c r="A24" s="66" t="s">
        <v>811</v>
      </c>
    </row>
    <row r="25" customFormat="false" ht="45.75" hidden="false" customHeight="true" outlineLevel="0" collapsed="false">
      <c r="A25" s="67" t="s">
        <v>812</v>
      </c>
      <c r="B25" s="68" t="s">
        <v>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015625" defaultRowHeight="13.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11"/>
    <col collapsed="false" customWidth="true" hidden="false" outlineLevel="0" max="7" min="7" style="0" width="52"/>
  </cols>
  <sheetData>
    <row r="1" customFormat="false" ht="15.75" hidden="false" customHeight="true" outlineLevel="0" collapsed="false">
      <c r="A1" s="59" t="s">
        <v>814</v>
      </c>
    </row>
    <row r="2" customFormat="false" ht="15" hidden="false" customHeight="true" outlineLevel="0" collapsed="false">
      <c r="A2" s="37" t="s">
        <v>815</v>
      </c>
    </row>
    <row r="3" customFormat="false" ht="15" hidden="false" customHeight="true" outlineLevel="0" collapsed="false">
      <c r="D3" s="67" t="s">
        <v>816</v>
      </c>
      <c r="E3" s="69" t="n">
        <v>3</v>
      </c>
    </row>
    <row r="5" customFormat="false" ht="30" hidden="false" customHeight="true" outlineLevel="0" collapsed="false">
      <c r="A5" s="70" t="s">
        <v>817</v>
      </c>
      <c r="B5" s="70" t="s">
        <v>818</v>
      </c>
      <c r="C5" s="70" t="s">
        <v>819</v>
      </c>
      <c r="D5" s="70" t="s">
        <v>820</v>
      </c>
      <c r="E5" s="70" t="s">
        <v>575</v>
      </c>
      <c r="F5" s="70" t="s">
        <v>576</v>
      </c>
      <c r="G5" s="70" t="s">
        <v>577</v>
      </c>
    </row>
    <row r="6" customFormat="false" ht="15" hidden="false" customHeight="true" outlineLevel="0" collapsed="false">
      <c r="A6" s="49" t="s">
        <v>821</v>
      </c>
      <c r="B6" s="48" t="s">
        <v>166</v>
      </c>
      <c r="C6" s="47" t="n">
        <v>1</v>
      </c>
      <c r="D6" s="47" t="n">
        <f aca="false">C6*$E$3</f>
        <v>3</v>
      </c>
      <c r="E6" s="71" t="n">
        <v>1</v>
      </c>
      <c r="F6" s="47" t="n">
        <f aca="false">IF(E6="","",D6-E6)</f>
        <v>2</v>
      </c>
      <c r="G6" s="56" t="s">
        <v>822</v>
      </c>
    </row>
    <row r="7" customFormat="false" ht="15" hidden="false" customHeight="true" outlineLevel="0" collapsed="false">
      <c r="A7" s="72" t="s">
        <v>823</v>
      </c>
      <c r="B7" s="73" t="s">
        <v>824</v>
      </c>
      <c r="C7" s="74" t="n">
        <v>1</v>
      </c>
      <c r="D7" s="74" t="n">
        <f aca="false">C7*$E$3</f>
        <v>3</v>
      </c>
      <c r="E7" s="75" t="n">
        <v>0</v>
      </c>
      <c r="F7" s="74" t="n">
        <f aca="false">IF(E7="","",D7-E7)</f>
        <v>3</v>
      </c>
      <c r="G7" s="76" t="s">
        <v>825</v>
      </c>
    </row>
    <row r="8" customFormat="false" ht="15" hidden="false" customHeight="true" outlineLevel="0" collapsed="false">
      <c r="A8" s="49" t="s">
        <v>730</v>
      </c>
      <c r="B8" s="48" t="s">
        <v>826</v>
      </c>
      <c r="C8" s="47" t="n">
        <v>1</v>
      </c>
      <c r="D8" s="47" t="n">
        <f aca="false">C8*$E$3</f>
        <v>3</v>
      </c>
      <c r="E8" s="71" t="n">
        <v>2</v>
      </c>
      <c r="F8" s="47" t="n">
        <f aca="false">IF(E8="","",D8-E8)</f>
        <v>1</v>
      </c>
      <c r="G8" s="56" t="s">
        <v>827</v>
      </c>
    </row>
    <row r="9" customFormat="false" ht="15" hidden="false" customHeight="true" outlineLevel="0" collapsed="false">
      <c r="A9" s="46" t="s">
        <v>223</v>
      </c>
      <c r="B9" s="45" t="s">
        <v>828</v>
      </c>
      <c r="C9" s="44" t="n">
        <v>1</v>
      </c>
      <c r="D9" s="44" t="n">
        <f aca="false">C9*$E$3</f>
        <v>3</v>
      </c>
      <c r="E9" s="77" t="n">
        <v>1</v>
      </c>
      <c r="F9" s="44" t="n">
        <f aca="false">IF(E9="","",D9-E9)</f>
        <v>2</v>
      </c>
      <c r="G9" s="53" t="s">
        <v>829</v>
      </c>
    </row>
    <row r="10" customFormat="false" ht="15" hidden="false" customHeight="true" outlineLevel="0" collapsed="false">
      <c r="A10" s="78" t="s">
        <v>830</v>
      </c>
      <c r="B10" s="79" t="s">
        <v>831</v>
      </c>
      <c r="C10" s="80" t="n">
        <v>1</v>
      </c>
      <c r="D10" s="80" t="s">
        <v>750</v>
      </c>
      <c r="E10" s="80" t="s">
        <v>750</v>
      </c>
      <c r="F10" s="80" t="s">
        <v>832</v>
      </c>
      <c r="G10" s="79" t="s">
        <v>833</v>
      </c>
    </row>
    <row r="11" customFormat="false" ht="15" hidden="false" customHeight="true" outlineLevel="0" collapsed="false">
      <c r="A11" s="72" t="s">
        <v>834</v>
      </c>
      <c r="B11" s="73" t="s">
        <v>835</v>
      </c>
      <c r="C11" s="74" t="n">
        <v>1</v>
      </c>
      <c r="D11" s="74" t="n">
        <f aca="false">C11*$E$3</f>
        <v>3</v>
      </c>
      <c r="E11" s="75" t="n">
        <v>0</v>
      </c>
      <c r="F11" s="74" t="n">
        <f aca="false">IF(E11="","",D11-E11)</f>
        <v>3</v>
      </c>
      <c r="G11" s="76" t="s">
        <v>836</v>
      </c>
    </row>
    <row r="13" customFormat="false" ht="15" hidden="false" customHeight="true" outlineLevel="0" collapsed="false">
      <c r="A13" s="66" t="s">
        <v>837</v>
      </c>
    </row>
    <row r="14" customFormat="false" ht="15" hidden="false" customHeight="true" outlineLevel="0" collapsed="false">
      <c r="A14" s="67" t="s">
        <v>166</v>
      </c>
      <c r="B14" s="81" t="s">
        <v>838</v>
      </c>
    </row>
    <row r="15" customFormat="false" ht="15" hidden="false" customHeight="true" outlineLevel="0" collapsed="false">
      <c r="A15" s="67" t="s">
        <v>824</v>
      </c>
      <c r="B15" s="81" t="s">
        <v>839</v>
      </c>
    </row>
    <row r="16" customFormat="false" ht="23.25" hidden="false" customHeight="true" outlineLevel="0" collapsed="false">
      <c r="A16" s="67" t="s">
        <v>826</v>
      </c>
      <c r="B16" s="81" t="s">
        <v>840</v>
      </c>
    </row>
    <row r="17" customFormat="false" ht="15" hidden="false" customHeight="true" outlineLevel="0" collapsed="false">
      <c r="A17" s="67" t="s">
        <v>828</v>
      </c>
      <c r="B17" s="81" t="s">
        <v>838</v>
      </c>
    </row>
    <row r="18" customFormat="false" ht="15" hidden="false" customHeight="true" outlineLevel="0" collapsed="false">
      <c r="A18" s="67" t="s">
        <v>841</v>
      </c>
      <c r="B18" s="81" t="s">
        <v>842</v>
      </c>
    </row>
    <row r="19" customFormat="false" ht="15" hidden="false" customHeight="true" outlineLevel="0" collapsed="false">
      <c r="A19" s="67" t="s">
        <v>835</v>
      </c>
      <c r="B19" s="81" t="s">
        <v>843</v>
      </c>
    </row>
    <row r="20" customFormat="false" ht="23.25" hidden="false" customHeight="true" outlineLevel="0" collapsed="false">
      <c r="A20" s="67" t="s">
        <v>844</v>
      </c>
      <c r="B20" s="81" t="s">
        <v>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2026-09-14T20:19:44Z</dcterms:created>
  <dc:creator/>
  <dc:description/>
  <dc:language>en-US</dc:language>
  <cp:lastModifiedBy>Jaime Lugo Miranda</cp:lastModifiedBy>
  <dcterms:modified xsi:type="dcterms:W3CDTF">2026-09-16T00:59:18Z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